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id sem data\JAN-JUN 2026\6TH SEM MID SEM\"/>
    </mc:Choice>
  </mc:AlternateContent>
  <xr:revisionPtr revIDLastSave="0" documentId="13_ncr:1_{C64427A3-4D5C-488C-BEB6-87369DC9E0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3RD Debarred E" sheetId="15" r:id="rId1"/>
    <sheet name="3RD Debarred D" sheetId="14" r:id="rId2"/>
    <sheet name="3RD Debarred C" sheetId="13" r:id="rId3"/>
    <sheet name="3RD Debarred B" sheetId="12" r:id="rId4"/>
    <sheet name="3RD Debarred A" sheetId="2" r:id="rId5"/>
    <sheet name="6th A" sheetId="3" r:id="rId6"/>
    <sheet name="6th B" sheetId="4" r:id="rId7"/>
    <sheet name="6th C" sheetId="5" r:id="rId8"/>
    <sheet name="6th D" sheetId="6" r:id="rId9"/>
    <sheet name="6th E" sheetId="7" r:id="rId10"/>
    <sheet name="Sheet1" sheetId="8" state="hidden" r:id="rId11"/>
    <sheet name="Main Seating" sheetId="11" state="hidden" r:id="rId12"/>
    <sheet name="exam duty chart" sheetId="10" r:id="rId13"/>
    <sheet name="OVER ALL RESULT" sheetId="9" r:id="rId14"/>
  </sheets>
  <definedNames>
    <definedName name="_xlnm._FilterDatabase" localSheetId="4" hidden="1">'3RD Debarred A'!$A$5:$I$6</definedName>
    <definedName name="_xlnm._FilterDatabase" localSheetId="5" hidden="1">'6th A'!$A$5:$M$6</definedName>
    <definedName name="_xlnm._FilterDatabase" localSheetId="6" hidden="1">'6th B'!$A$5:$L$6</definedName>
    <definedName name="_xlnm._FilterDatabase" localSheetId="7" hidden="1">'6th C'!$A$5:$L$7</definedName>
    <definedName name="_xlnm._FilterDatabase" localSheetId="8" hidden="1">'6th D'!$A$5:$L$6</definedName>
    <definedName name="_xlnm._FilterDatabase" localSheetId="9" hidden="1">'6th E'!$A$5:$L$6</definedName>
    <definedName name="_xlnm.Print_Area" localSheetId="11">'Main Seating'!$A$1:$G$27</definedName>
    <definedName name="_xlnm.Print_Titles" localSheetId="4">'3RD Debarred A'!$1:$3</definedName>
    <definedName name="_xlnm.Print_Titles" localSheetId="3">'3RD Debarred B'!$1:$3</definedName>
    <definedName name="_xlnm.Print_Titles" localSheetId="2">'3RD Debarred C'!$5:$6</definedName>
    <definedName name="_xlnm.Print_Titles" localSheetId="1">'3RD Debarred D'!$1:$6</definedName>
    <definedName name="_xlnm.Print_Titles" localSheetId="0">'3RD Debarred E'!$1:$3</definedName>
    <definedName name="_xlnm.Print_Titles" localSheetId="6">'6th B'!$5:$6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7" l="1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7" i="7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7" i="6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7" i="5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7" i="4"/>
  <c r="M8" i="3"/>
  <c r="M9" i="3"/>
  <c r="M10" i="3"/>
  <c r="M11" i="3"/>
  <c r="M12" i="3"/>
  <c r="M13" i="3"/>
  <c r="M14" i="3"/>
  <c r="M15" i="3"/>
  <c r="M16" i="3"/>
  <c r="M17" i="3"/>
  <c r="M18" i="3"/>
  <c r="M7" i="3"/>
  <c r="J8" i="9"/>
  <c r="K8" i="7"/>
  <c r="L8" i="7" s="1"/>
  <c r="K9" i="7"/>
  <c r="L9" i="7" s="1"/>
  <c r="K10" i="7"/>
  <c r="L10" i="7" s="1"/>
  <c r="K11" i="7"/>
  <c r="L11" i="7" s="1"/>
  <c r="K12" i="7"/>
  <c r="L12" i="7" s="1"/>
  <c r="K13" i="7"/>
  <c r="L13" i="7" s="1"/>
  <c r="K14" i="7"/>
  <c r="L14" i="7" s="1"/>
  <c r="K15" i="7"/>
  <c r="L15" i="7" s="1"/>
  <c r="K16" i="7"/>
  <c r="L16" i="7" s="1"/>
  <c r="K17" i="7"/>
  <c r="L17" i="7" s="1"/>
  <c r="K18" i="7"/>
  <c r="L18" i="7" s="1"/>
  <c r="K19" i="7"/>
  <c r="L19" i="7" s="1"/>
  <c r="K20" i="7"/>
  <c r="L20" i="7" s="1"/>
  <c r="K21" i="7"/>
  <c r="L21" i="7" s="1"/>
  <c r="K22" i="7"/>
  <c r="L22" i="7" s="1"/>
  <c r="K23" i="7"/>
  <c r="L23" i="7" s="1"/>
  <c r="K24" i="7"/>
  <c r="L24" i="7" s="1"/>
  <c r="K25" i="7"/>
  <c r="L25" i="7" s="1"/>
  <c r="K26" i="7"/>
  <c r="L26" i="7" s="1"/>
  <c r="K27" i="7"/>
  <c r="L27" i="7" s="1"/>
  <c r="K28" i="7"/>
  <c r="L28" i="7"/>
  <c r="K29" i="7"/>
  <c r="L29" i="7" s="1"/>
  <c r="K7" i="7"/>
  <c r="L7" i="7" s="1"/>
  <c r="K8" i="6"/>
  <c r="L8" i="6" s="1"/>
  <c r="K9" i="6"/>
  <c r="L9" i="6" s="1"/>
  <c r="K10" i="6"/>
  <c r="L10" i="6" s="1"/>
  <c r="K11" i="6"/>
  <c r="L11" i="6" s="1"/>
  <c r="K12" i="6"/>
  <c r="L12" i="6" s="1"/>
  <c r="K13" i="6"/>
  <c r="L13" i="6" s="1"/>
  <c r="K14" i="6"/>
  <c r="L14" i="6"/>
  <c r="K15" i="6"/>
  <c r="L15" i="6" s="1"/>
  <c r="K16" i="6"/>
  <c r="L16" i="6"/>
  <c r="K17" i="6"/>
  <c r="L17" i="6" s="1"/>
  <c r="K18" i="6"/>
  <c r="L18" i="6"/>
  <c r="K19" i="6"/>
  <c r="L19" i="6" s="1"/>
  <c r="K20" i="6"/>
  <c r="L20" i="6"/>
  <c r="K21" i="6"/>
  <c r="L21" i="6"/>
  <c r="K22" i="6"/>
  <c r="L22" i="6"/>
  <c r="K23" i="6"/>
  <c r="L23" i="6"/>
  <c r="K24" i="6"/>
  <c r="L24" i="6"/>
  <c r="K25" i="6"/>
  <c r="L25" i="6"/>
  <c r="K7" i="6"/>
  <c r="L7" i="6" s="1"/>
  <c r="K8" i="5"/>
  <c r="L8" i="5" s="1"/>
  <c r="K9" i="5"/>
  <c r="L9" i="5" s="1"/>
  <c r="K10" i="5"/>
  <c r="L10" i="5" s="1"/>
  <c r="K11" i="5"/>
  <c r="L11" i="5" s="1"/>
  <c r="K12" i="5"/>
  <c r="L12" i="5" s="1"/>
  <c r="K13" i="5"/>
  <c r="L13" i="5" s="1"/>
  <c r="K14" i="5"/>
  <c r="L14" i="5" s="1"/>
  <c r="K15" i="5"/>
  <c r="L15" i="5" s="1"/>
  <c r="K16" i="5"/>
  <c r="L16" i="5" s="1"/>
  <c r="K17" i="5"/>
  <c r="L17" i="5" s="1"/>
  <c r="K18" i="5"/>
  <c r="L18" i="5"/>
  <c r="K19" i="5"/>
  <c r="L19" i="5" s="1"/>
  <c r="K20" i="5"/>
  <c r="L20" i="5" s="1"/>
  <c r="K21" i="5"/>
  <c r="L21" i="5"/>
  <c r="K22" i="5"/>
  <c r="L22" i="5"/>
  <c r="K23" i="5"/>
  <c r="L23" i="5" s="1"/>
  <c r="K24" i="5"/>
  <c r="L24" i="5"/>
  <c r="K25" i="5"/>
  <c r="L25" i="5" s="1"/>
  <c r="K26" i="5"/>
  <c r="L26" i="5" s="1"/>
  <c r="K27" i="5"/>
  <c r="L27" i="5"/>
  <c r="K28" i="5"/>
  <c r="L28" i="5" s="1"/>
  <c r="K29" i="5"/>
  <c r="L29" i="5" s="1"/>
  <c r="K7" i="5"/>
  <c r="L7" i="5" s="1"/>
  <c r="K7" i="4"/>
  <c r="L7" i="4" s="1"/>
  <c r="K8" i="4"/>
  <c r="L8" i="4" s="1"/>
  <c r="K9" i="4"/>
  <c r="L9" i="4" s="1"/>
  <c r="K10" i="4"/>
  <c r="L10" i="4" s="1"/>
  <c r="K11" i="4"/>
  <c r="L11" i="4"/>
  <c r="K12" i="4"/>
  <c r="L12" i="4"/>
  <c r="K13" i="4"/>
  <c r="L13" i="4" s="1"/>
  <c r="K14" i="4"/>
  <c r="K15" i="4"/>
  <c r="L15" i="4"/>
  <c r="K16" i="4"/>
  <c r="L16" i="4"/>
  <c r="K17" i="4"/>
  <c r="L17" i="4"/>
  <c r="K18" i="4"/>
  <c r="L18" i="4" s="1"/>
  <c r="K19" i="4"/>
  <c r="L19" i="4"/>
  <c r="K20" i="4"/>
  <c r="L20" i="4" s="1"/>
  <c r="K21" i="4"/>
  <c r="L21" i="4"/>
  <c r="K22" i="4"/>
  <c r="L22" i="4" s="1"/>
  <c r="K23" i="4"/>
  <c r="L23" i="4" s="1"/>
  <c r="K24" i="4"/>
  <c r="L24" i="4" s="1"/>
  <c r="K25" i="4"/>
  <c r="L25" i="4" s="1"/>
  <c r="K26" i="4"/>
  <c r="L26" i="4" s="1"/>
  <c r="K27" i="4"/>
  <c r="L27" i="4"/>
  <c r="K28" i="4"/>
  <c r="L28" i="4"/>
  <c r="K29" i="4"/>
  <c r="L29" i="4" s="1"/>
  <c r="K30" i="4"/>
  <c r="L30" i="4" s="1"/>
  <c r="K31" i="4"/>
  <c r="L31" i="4" s="1"/>
  <c r="K32" i="4"/>
  <c r="L32" i="4" s="1"/>
  <c r="K33" i="4"/>
  <c r="L33" i="4"/>
  <c r="K34" i="4"/>
  <c r="L34" i="4" s="1"/>
  <c r="K35" i="4"/>
  <c r="L35" i="4" s="1"/>
  <c r="K36" i="4"/>
  <c r="L36" i="4" s="1"/>
  <c r="K37" i="4"/>
  <c r="L37" i="4" s="1"/>
  <c r="K38" i="4"/>
  <c r="L38" i="4" s="1"/>
  <c r="K39" i="4"/>
  <c r="L39" i="4"/>
  <c r="K40" i="4"/>
  <c r="L40" i="4" s="1"/>
  <c r="K41" i="4"/>
  <c r="L41" i="4" s="1"/>
  <c r="L15" i="3"/>
  <c r="L16" i="3"/>
  <c r="L17" i="3"/>
  <c r="K8" i="3"/>
  <c r="K9" i="3"/>
  <c r="L9" i="3" s="1"/>
  <c r="K10" i="3"/>
  <c r="L10" i="3" s="1"/>
  <c r="K11" i="3"/>
  <c r="L11" i="3" s="1"/>
  <c r="K12" i="3"/>
  <c r="L12" i="3" s="1"/>
  <c r="K13" i="3"/>
  <c r="L13" i="3" s="1"/>
  <c r="K14" i="3"/>
  <c r="L14" i="3" s="1"/>
  <c r="K15" i="3"/>
  <c r="K16" i="3"/>
  <c r="K17" i="3"/>
  <c r="K18" i="3"/>
  <c r="L18" i="3" s="1"/>
  <c r="K7" i="3"/>
  <c r="L7" i="3" s="1"/>
  <c r="F33" i="5"/>
  <c r="G33" i="5"/>
  <c r="H33" i="5"/>
  <c r="E33" i="5"/>
  <c r="F35" i="5"/>
  <c r="I16" i="9" s="1"/>
  <c r="G35" i="5"/>
  <c r="C26" i="9" s="1"/>
  <c r="H35" i="5"/>
  <c r="I26" i="8" s="1"/>
  <c r="E35" i="5"/>
  <c r="C16" i="9" s="1"/>
  <c r="F32" i="5"/>
  <c r="G32" i="5"/>
  <c r="H32" i="5"/>
  <c r="E32" i="5"/>
  <c r="F21" i="3"/>
  <c r="G21" i="3"/>
  <c r="H21" i="3"/>
  <c r="F22" i="3"/>
  <c r="G22" i="3"/>
  <c r="H22" i="3"/>
  <c r="F24" i="3"/>
  <c r="G24" i="3"/>
  <c r="C24" i="8" s="1"/>
  <c r="H24" i="3"/>
  <c r="F35" i="7"/>
  <c r="G35" i="7"/>
  <c r="C28" i="9" s="1"/>
  <c r="H35" i="7"/>
  <c r="I28" i="9" s="1"/>
  <c r="E35" i="7"/>
  <c r="C18" i="8" s="1"/>
  <c r="F30" i="6"/>
  <c r="I17" i="9" s="1"/>
  <c r="G30" i="6"/>
  <c r="C27" i="9" s="1"/>
  <c r="H30" i="6"/>
  <c r="I27" i="9" s="1"/>
  <c r="I30" i="6"/>
  <c r="E30" i="6"/>
  <c r="C17" i="9" s="1"/>
  <c r="F47" i="4"/>
  <c r="I15" i="8" s="1"/>
  <c r="G47" i="4"/>
  <c r="H47" i="4"/>
  <c r="E47" i="4"/>
  <c r="C15" i="9" s="1"/>
  <c r="E24" i="3"/>
  <c r="C14" i="9" s="1"/>
  <c r="H9" i="9"/>
  <c r="H9" i="8"/>
  <c r="J9" i="8" s="1"/>
  <c r="J8" i="8"/>
  <c r="I35" i="7"/>
  <c r="I33" i="7"/>
  <c r="G33" i="7"/>
  <c r="F33" i="7"/>
  <c r="E33" i="7"/>
  <c r="I32" i="7"/>
  <c r="G32" i="7"/>
  <c r="F32" i="7"/>
  <c r="E32" i="7"/>
  <c r="I28" i="6"/>
  <c r="H28" i="6"/>
  <c r="G28" i="6"/>
  <c r="F28" i="6"/>
  <c r="E28" i="6"/>
  <c r="I27" i="6"/>
  <c r="H27" i="6"/>
  <c r="G27" i="6"/>
  <c r="F27" i="6"/>
  <c r="E27" i="6"/>
  <c r="I35" i="5"/>
  <c r="C36" i="8" s="1"/>
  <c r="I33" i="5"/>
  <c r="I32" i="5"/>
  <c r="I47" i="4"/>
  <c r="I45" i="4"/>
  <c r="H45" i="4"/>
  <c r="G45" i="4"/>
  <c r="F45" i="4"/>
  <c r="E45" i="4"/>
  <c r="E46" i="4" s="1"/>
  <c r="I44" i="4"/>
  <c r="H44" i="4"/>
  <c r="G44" i="4"/>
  <c r="F44" i="4"/>
  <c r="E44" i="4"/>
  <c r="E22" i="3"/>
  <c r="E21" i="3"/>
  <c r="J27" i="6" l="1"/>
  <c r="J44" i="4"/>
  <c r="J32" i="7"/>
  <c r="J33" i="7"/>
  <c r="J35" i="7"/>
  <c r="J33" i="5"/>
  <c r="J30" i="6"/>
  <c r="J28" i="6"/>
  <c r="J22" i="3"/>
  <c r="J24" i="3"/>
  <c r="J45" i="4"/>
  <c r="J47" i="4"/>
  <c r="J35" i="5"/>
  <c r="J32" i="5"/>
  <c r="L14" i="4"/>
  <c r="J21" i="3"/>
  <c r="L8" i="3"/>
  <c r="J9" i="9"/>
  <c r="E34" i="5"/>
  <c r="B16" i="9" s="1"/>
  <c r="D16" i="9" s="1"/>
  <c r="G34" i="5"/>
  <c r="G36" i="5" s="1"/>
  <c r="F46" i="4"/>
  <c r="H15" i="8" s="1"/>
  <c r="J15" i="8" s="1"/>
  <c r="E29" i="6"/>
  <c r="B17" i="8" s="1"/>
  <c r="H29" i="6"/>
  <c r="H27" i="9" s="1"/>
  <c r="J27" i="9" s="1"/>
  <c r="H34" i="5"/>
  <c r="H26" i="8" s="1"/>
  <c r="J26" i="8" s="1"/>
  <c r="I34" i="5"/>
  <c r="B36" i="8" s="1"/>
  <c r="D36" i="8" s="1"/>
  <c r="G46" i="4"/>
  <c r="B25" i="9" s="1"/>
  <c r="I46" i="4"/>
  <c r="B35" i="8" s="1"/>
  <c r="G23" i="3"/>
  <c r="B24" i="9" s="1"/>
  <c r="E23" i="3"/>
  <c r="B14" i="8" s="1"/>
  <c r="I34" i="7"/>
  <c r="I36" i="7" s="1"/>
  <c r="F34" i="7"/>
  <c r="H18" i="8" s="1"/>
  <c r="G29" i="6"/>
  <c r="B27" i="9" s="1"/>
  <c r="D27" i="9" s="1"/>
  <c r="E34" i="7"/>
  <c r="B18" i="8" s="1"/>
  <c r="D18" i="8" s="1"/>
  <c r="H23" i="3"/>
  <c r="H24" i="9" s="1"/>
  <c r="H46" i="4"/>
  <c r="H48" i="4" s="1"/>
  <c r="F34" i="5"/>
  <c r="H16" i="8" s="1"/>
  <c r="I29" i="6"/>
  <c r="F29" i="6"/>
  <c r="F31" i="6" s="1"/>
  <c r="G34" i="7"/>
  <c r="B28" i="9" s="1"/>
  <c r="D28" i="9" s="1"/>
  <c r="F23" i="3"/>
  <c r="H14" i="9" s="1"/>
  <c r="B15" i="9"/>
  <c r="D15" i="9" s="1"/>
  <c r="B15" i="8"/>
  <c r="H15" i="9"/>
  <c r="I18" i="8"/>
  <c r="C18" i="9"/>
  <c r="C29" i="9"/>
  <c r="C16" i="8"/>
  <c r="C27" i="8"/>
  <c r="I15" i="9"/>
  <c r="I26" i="9"/>
  <c r="I24" i="8"/>
  <c r="C37" i="8"/>
  <c r="C24" i="9"/>
  <c r="I18" i="9"/>
  <c r="I29" i="9"/>
  <c r="I16" i="8"/>
  <c r="I27" i="8"/>
  <c r="C14" i="8"/>
  <c r="C25" i="8"/>
  <c r="C38" i="8"/>
  <c r="I24" i="9"/>
  <c r="C19" i="9"/>
  <c r="C17" i="8"/>
  <c r="C28" i="8"/>
  <c r="I14" i="8"/>
  <c r="I25" i="8"/>
  <c r="C25" i="9"/>
  <c r="C34" i="8"/>
  <c r="I19" i="9"/>
  <c r="I17" i="8"/>
  <c r="I28" i="8"/>
  <c r="C15" i="8"/>
  <c r="C26" i="8"/>
  <c r="I14" i="9"/>
  <c r="I25" i="9"/>
  <c r="I48" i="4"/>
  <c r="C35" i="8"/>
  <c r="E48" i="4"/>
  <c r="J23" i="3" l="1"/>
  <c r="J25" i="3" s="1"/>
  <c r="C8" i="9"/>
  <c r="D35" i="8"/>
  <c r="B16" i="8"/>
  <c r="D16" i="8" s="1"/>
  <c r="B26" i="9"/>
  <c r="D26" i="9" s="1"/>
  <c r="E36" i="5"/>
  <c r="B38" i="8"/>
  <c r="D38" i="8" s="1"/>
  <c r="F48" i="4"/>
  <c r="H27" i="8"/>
  <c r="J27" i="8" s="1"/>
  <c r="E31" i="6"/>
  <c r="B17" i="9"/>
  <c r="D17" i="9" s="1"/>
  <c r="E36" i="7"/>
  <c r="B26" i="8"/>
  <c r="D26" i="8" s="1"/>
  <c r="B25" i="8"/>
  <c r="D25" i="8" s="1"/>
  <c r="G48" i="4"/>
  <c r="F36" i="7"/>
  <c r="B18" i="9"/>
  <c r="D18" i="9" s="1"/>
  <c r="H18" i="9"/>
  <c r="J18" i="9" s="1"/>
  <c r="H31" i="6"/>
  <c r="I36" i="5"/>
  <c r="H36" i="5"/>
  <c r="H26" i="9"/>
  <c r="J26" i="9" s="1"/>
  <c r="B14" i="9"/>
  <c r="D14" i="9" s="1"/>
  <c r="B19" i="9"/>
  <c r="B20" i="9" s="1"/>
  <c r="E25" i="3"/>
  <c r="G25" i="3"/>
  <c r="B24" i="8"/>
  <c r="D24" i="8" s="1"/>
  <c r="I31" i="6"/>
  <c r="J29" i="6"/>
  <c r="J31" i="6" s="1"/>
  <c r="B27" i="8"/>
  <c r="G31" i="6"/>
  <c r="B37" i="8"/>
  <c r="D37" i="8" s="1"/>
  <c r="J18" i="8"/>
  <c r="D24" i="9"/>
  <c r="H25" i="3"/>
  <c r="H24" i="8"/>
  <c r="J24" i="8" s="1"/>
  <c r="J24" i="9"/>
  <c r="J46" i="4"/>
  <c r="H25" i="8"/>
  <c r="J25" i="8" s="1"/>
  <c r="H25" i="9"/>
  <c r="J25" i="9" s="1"/>
  <c r="H29" i="9"/>
  <c r="H30" i="9" s="1"/>
  <c r="J34" i="5"/>
  <c r="J36" i="5" s="1"/>
  <c r="F36" i="5"/>
  <c r="H16" i="9"/>
  <c r="J16" i="9" s="1"/>
  <c r="D27" i="8"/>
  <c r="H17" i="8"/>
  <c r="J17" i="8" s="1"/>
  <c r="H17" i="9"/>
  <c r="J17" i="9" s="1"/>
  <c r="B28" i="8"/>
  <c r="D28" i="8" s="1"/>
  <c r="G36" i="7"/>
  <c r="B29" i="9"/>
  <c r="B30" i="9" s="1"/>
  <c r="H28" i="9"/>
  <c r="J28" i="9" s="1"/>
  <c r="H36" i="7"/>
  <c r="H28" i="8"/>
  <c r="J28" i="8" s="1"/>
  <c r="J34" i="7"/>
  <c r="C29" i="8"/>
  <c r="C30" i="8" s="1"/>
  <c r="H14" i="8"/>
  <c r="J14" i="8" s="1"/>
  <c r="F25" i="3"/>
  <c r="H19" i="9"/>
  <c r="H20" i="9" s="1"/>
  <c r="J14" i="9"/>
  <c r="D14" i="8"/>
  <c r="C19" i="8"/>
  <c r="I20" i="9"/>
  <c r="C39" i="8"/>
  <c r="C30" i="9"/>
  <c r="I19" i="8"/>
  <c r="J15" i="9"/>
  <c r="I30" i="9"/>
  <c r="J16" i="8"/>
  <c r="B19" i="8"/>
  <c r="B20" i="8" s="1"/>
  <c r="D25" i="9"/>
  <c r="D17" i="8"/>
  <c r="D15" i="8"/>
  <c r="C8" i="8"/>
  <c r="I29" i="8"/>
  <c r="C20" i="9"/>
  <c r="J48" i="4" l="1"/>
  <c r="B8" i="9"/>
  <c r="B9" i="9" s="1"/>
  <c r="B34" i="8"/>
  <c r="D34" i="8" s="1"/>
  <c r="D29" i="9"/>
  <c r="J29" i="9"/>
  <c r="J30" i="9"/>
  <c r="D19" i="9"/>
  <c r="D20" i="9"/>
  <c r="H29" i="8"/>
  <c r="H30" i="8" s="1"/>
  <c r="D30" i="9"/>
  <c r="B8" i="8"/>
  <c r="B9" i="8" s="1"/>
  <c r="J19" i="9"/>
  <c r="J20" i="9"/>
  <c r="B29" i="8"/>
  <c r="B30" i="8" s="1"/>
  <c r="D30" i="8" s="1"/>
  <c r="J36" i="7"/>
  <c r="H19" i="8"/>
  <c r="H20" i="8" s="1"/>
  <c r="I30" i="8"/>
  <c r="C9" i="9"/>
  <c r="I20" i="8"/>
  <c r="C40" i="8"/>
  <c r="C9" i="8"/>
  <c r="C20" i="8"/>
  <c r="D20" i="8" s="1"/>
  <c r="D19" i="8"/>
  <c r="B39" i="8" l="1"/>
  <c r="B40" i="8" s="1"/>
  <c r="D40" i="8" s="1"/>
  <c r="J29" i="8"/>
  <c r="J30" i="8"/>
  <c r="D8" i="8"/>
  <c r="D9" i="8" s="1"/>
  <c r="D29" i="8"/>
  <c r="D8" i="9"/>
  <c r="D9" i="9"/>
  <c r="B5" i="9" s="1"/>
  <c r="J19" i="8"/>
  <c r="J20" i="8"/>
  <c r="D39" i="8" l="1"/>
  <c r="B5" i="8"/>
</calcChain>
</file>

<file path=xl/sharedStrings.xml><?xml version="1.0" encoding="utf-8"?>
<sst xmlns="http://schemas.openxmlformats.org/spreadsheetml/2006/main" count="984" uniqueCount="631">
  <si>
    <t>SAGAR INSTITUTE OF RESEARCH &amp; TECHNOLOGY</t>
  </si>
  <si>
    <t>DEPARTMENT OF CSIT</t>
  </si>
  <si>
    <t>S.NO</t>
  </si>
  <si>
    <t>Board EnrollNo</t>
  </si>
  <si>
    <t>Student Name</t>
  </si>
  <si>
    <t>Total Per</t>
  </si>
  <si>
    <t>Total</t>
  </si>
  <si>
    <t>% Percentage</t>
  </si>
  <si>
    <t>Pass/Fail</t>
  </si>
  <si>
    <t>A</t>
  </si>
  <si>
    <t>Over all Result</t>
  </si>
  <si>
    <t xml:space="preserve">Total Students </t>
  </si>
  <si>
    <t xml:space="preserve">Total absent </t>
  </si>
  <si>
    <t xml:space="preserve">Total Present in Exam </t>
  </si>
  <si>
    <t>Total Student Passed</t>
  </si>
  <si>
    <t>Percentage</t>
  </si>
  <si>
    <t>ABHISHEK KUMAR</t>
  </si>
  <si>
    <t>ANKIT KUMAR</t>
  </si>
  <si>
    <t>ANUJ KUMAR</t>
  </si>
  <si>
    <t>RAHUL KUMAR</t>
  </si>
  <si>
    <t>SACHIN KUMAR</t>
  </si>
  <si>
    <t>Sagar Group of Institutions, Bhopal</t>
  </si>
  <si>
    <t>(SIRT/SIRTS/SIRTE/SIRT-P/SIRT-SP)</t>
  </si>
  <si>
    <t>II MID SEM Result Analysis Report Jul-Dec 2025</t>
  </si>
  <si>
    <t>BRANCH:-CSIT</t>
  </si>
  <si>
    <t>SEMESTER:-3rd Sem (JUL-DEC 2025)</t>
  </si>
  <si>
    <t>Students</t>
  </si>
  <si>
    <t>Students Appeared</t>
  </si>
  <si>
    <t>Students Passed</t>
  </si>
  <si>
    <t>Result %</t>
  </si>
  <si>
    <t>Regular</t>
  </si>
  <si>
    <t>Diploma</t>
  </si>
  <si>
    <t>SUBJECT-wise Result Analysis</t>
  </si>
  <si>
    <t>CSIT 301 (EEES)</t>
  </si>
  <si>
    <t>CSIT 302 (DISCRETE STRUCTURE)</t>
  </si>
  <si>
    <t>Section</t>
  </si>
  <si>
    <t>Faculty</t>
  </si>
  <si>
    <t>Prof. Tanya Malviya</t>
  </si>
  <si>
    <t>Prof. Swati Jain</t>
  </si>
  <si>
    <t>B</t>
  </si>
  <si>
    <t>Prof. Shilpa Dikhit</t>
  </si>
  <si>
    <t>Prof. Harsha Tavse</t>
  </si>
  <si>
    <t>C</t>
  </si>
  <si>
    <t>D</t>
  </si>
  <si>
    <t>E</t>
  </si>
  <si>
    <t>CSIT 303 (DS)</t>
  </si>
  <si>
    <t>CSIT 304 (DCS)</t>
  </si>
  <si>
    <t>Prof. Jayram Dwivedi</t>
  </si>
  <si>
    <t>Prof. Priya Sharma</t>
  </si>
  <si>
    <t>Prof. Suraj Singh Tomar</t>
  </si>
  <si>
    <t>Prof. Rajeev Saxena</t>
  </si>
  <si>
    <t>Prof. Pankaj Dubey</t>
  </si>
  <si>
    <t>Prof. Swati Rajpoot</t>
  </si>
  <si>
    <t>CSIT305 (OOPM)</t>
  </si>
  <si>
    <t>Dr. Aumreesh Ku. Saxena</t>
  </si>
  <si>
    <t>Prof. Vivek Rawat</t>
  </si>
  <si>
    <t>Prof. Abhishek Singh</t>
  </si>
  <si>
    <t>HOD CSIT 
  SIRT Bhopal</t>
  </si>
  <si>
    <t xml:space="preserve"> A</t>
  </si>
  <si>
    <t>HOD CSIT 
 SIRT Bhopal</t>
  </si>
  <si>
    <t>CSIT 6th Sem - CSIT-A</t>
  </si>
  <si>
    <t>CSIT-601
SE</t>
  </si>
  <si>
    <t>CSIT-602
ML</t>
  </si>
  <si>
    <t>CSIT-603(B)
CGM</t>
  </si>
  <si>
    <t>CSIT-604(B)
CRYPTOGRAPHY</t>
  </si>
  <si>
    <t>CSIT-608
(MAJOR PROJECT)</t>
  </si>
  <si>
    <t>I MID SEM EXAMINATION (JAN-JUN 2026)</t>
  </si>
  <si>
    <t>CSIT 6th Sem - CSIT-B</t>
  </si>
  <si>
    <t>CSIT 6th Sem - CSIT-C</t>
  </si>
  <si>
    <t>CSIT 6th Sem - CSIT-D</t>
  </si>
  <si>
    <t>CSIT 6th Sem - CSIT-E</t>
  </si>
  <si>
    <t>T &amp; P exam</t>
  </si>
  <si>
    <t>0133CI231035</t>
  </si>
  <si>
    <t>ANJALI SHRIVASTAVA</t>
  </si>
  <si>
    <t>0133CI231059</t>
  </si>
  <si>
    <t>ASHU GUPTA</t>
  </si>
  <si>
    <t>0133CI231024</t>
  </si>
  <si>
    <t>AMANJEET SINGH</t>
  </si>
  <si>
    <t>0133CI231036</t>
  </si>
  <si>
    <t>ANJALI VISHWAKARMA</t>
  </si>
  <si>
    <t>0133CI231002</t>
  </si>
  <si>
    <t>AARBI DHAKAD</t>
  </si>
  <si>
    <t>0133CI231055</t>
  </si>
  <si>
    <t>ARUN BARETHA</t>
  </si>
  <si>
    <t>0133CI231014</t>
  </si>
  <si>
    <t>ADITYA KUMAR SHAH</t>
  </si>
  <si>
    <t>0133CI231050</t>
  </si>
  <si>
    <t>0133CI231040</t>
  </si>
  <si>
    <t>0133CI231008</t>
  </si>
  <si>
    <t>0133CI231048</t>
  </si>
  <si>
    <t>ANU SAHU</t>
  </si>
  <si>
    <t>0133CI243D15</t>
  </si>
  <si>
    <t>UMA PAWAR</t>
  </si>
  <si>
    <t>0133CI231113</t>
  </si>
  <si>
    <t>KARTIKEY SHARMA</t>
  </si>
  <si>
    <t>0133CI231063</t>
  </si>
  <si>
    <t>ASTHA DUBEY</t>
  </si>
  <si>
    <t>0133CI231097</t>
  </si>
  <si>
    <t>GULNAZ KHAN</t>
  </si>
  <si>
    <t>0133CI231092</t>
  </si>
  <si>
    <t>GAUTAM KUMAR</t>
  </si>
  <si>
    <t>0133CI231110</t>
  </si>
  <si>
    <t>JAMAL</t>
  </si>
  <si>
    <t>0133CI231080</t>
  </si>
  <si>
    <t>CHHAVITA PATLE</t>
  </si>
  <si>
    <t>0133CI231085</t>
  </si>
  <si>
    <t>DEEPAK WAKEKAR</t>
  </si>
  <si>
    <t>0133CI231074</t>
  </si>
  <si>
    <t>AYUSHI JAIN</t>
  </si>
  <si>
    <t>0133CI231096</t>
  </si>
  <si>
    <t>GREESHMA CHOUKIKAR</t>
  </si>
  <si>
    <t>0133CI231112</t>
  </si>
  <si>
    <t>KAJAL KUMARI</t>
  </si>
  <si>
    <t>0133CI231086</t>
  </si>
  <si>
    <t>DEEPIKA LODHI</t>
  </si>
  <si>
    <t>0133CI231100</t>
  </si>
  <si>
    <t>HARIN SAHU</t>
  </si>
  <si>
    <t>0133CI231119</t>
  </si>
  <si>
    <t>KESHAV KUMAR DWIVEDI</t>
  </si>
  <si>
    <t>0133CI231069</t>
  </si>
  <si>
    <t>AYUSH KUMAR SINGH</t>
  </si>
  <si>
    <t>0133CI231081</t>
  </si>
  <si>
    <t>DALI</t>
  </si>
  <si>
    <t>0133CI231118</t>
  </si>
  <si>
    <t>KEERTAN RAGHUWANSHI</t>
  </si>
  <si>
    <t>0133CI231076</t>
  </si>
  <si>
    <t>BHUMIKA MALVIYA</t>
  </si>
  <si>
    <t>0133CI231089</t>
  </si>
  <si>
    <t>DHRUV TIWARI</t>
  </si>
  <si>
    <t>0133CI231068</t>
  </si>
  <si>
    <t>AYUSH KUMAR RAY</t>
  </si>
  <si>
    <t>0133CI231101</t>
  </si>
  <si>
    <t>HARSH RAJ</t>
  </si>
  <si>
    <t>0133CI231082</t>
  </si>
  <si>
    <t>DEEPAK KUMAR YADAV</t>
  </si>
  <si>
    <t>0133CI231090</t>
  </si>
  <si>
    <t>DIPANSHU KUMAR</t>
  </si>
  <si>
    <t>0133CI231104</t>
  </si>
  <si>
    <t>HARSHITA DONGRE</t>
  </si>
  <si>
    <t>0133CI231116</t>
  </si>
  <si>
    <t>KAUSHAL KUMAR</t>
  </si>
  <si>
    <t>0133CI231062</t>
  </si>
  <si>
    <t>ASHWANI SINGH</t>
  </si>
  <si>
    <t>0133CI231091</t>
  </si>
  <si>
    <t>GARIMA MUKATI</t>
  </si>
  <si>
    <t>0133CI231078</t>
  </si>
  <si>
    <t>BISHWJEET KUMAR PATEL</t>
  </si>
  <si>
    <t>0133CI231075</t>
  </si>
  <si>
    <t>BASUDEV KUMAR</t>
  </si>
  <si>
    <t>0133CI231084</t>
  </si>
  <si>
    <t>DEEPAK UPADHYA</t>
  </si>
  <si>
    <t>0133CI231105</t>
  </si>
  <si>
    <t>HARSHITA MAKWANA</t>
  </si>
  <si>
    <t>0133CI231088</t>
  </si>
  <si>
    <t>DHIRAJ KUMAR</t>
  </si>
  <si>
    <t>0133CI231109</t>
  </si>
  <si>
    <t>ISHITA NAMDEV</t>
  </si>
  <si>
    <t>0133CI231073</t>
  </si>
  <si>
    <t>AYUSHA PATEL</t>
  </si>
  <si>
    <t>0133CI243D03</t>
  </si>
  <si>
    <t>KARAN</t>
  </si>
  <si>
    <t>0133CI231121</t>
  </si>
  <si>
    <t>KHUSHI MEHAR</t>
  </si>
  <si>
    <t>0133CI243D10</t>
  </si>
  <si>
    <t>PRASHANT DHOTE</t>
  </si>
  <si>
    <t>0133CI231160</t>
  </si>
  <si>
    <t>NEHA KUMARI</t>
  </si>
  <si>
    <t>0133CI231133</t>
  </si>
  <si>
    <t>MADHU NAGESH</t>
  </si>
  <si>
    <t>0133CI231155</t>
  </si>
  <si>
    <t>MUSKAN SAHU</t>
  </si>
  <si>
    <t>0133CI231122</t>
  </si>
  <si>
    <t>KIRTI SUNHARE</t>
  </si>
  <si>
    <t>0133CI231128</t>
  </si>
  <si>
    <t>LAKSHYA AGRAWAL</t>
  </si>
  <si>
    <t>0133CI231158</t>
  </si>
  <si>
    <t>NANSI TOMAR</t>
  </si>
  <si>
    <t>0133CI231166</t>
  </si>
  <si>
    <t>NIKHIL SHARMA</t>
  </si>
  <si>
    <t>0133CI231178</t>
  </si>
  <si>
    <t>PAYAL RANI</t>
  </si>
  <si>
    <t>0133CI231153</t>
  </si>
  <si>
    <t>MUHAMMAD IRFAN</t>
  </si>
  <si>
    <t>0133CI231131</t>
  </si>
  <si>
    <t>LALITA GOUR</t>
  </si>
  <si>
    <t>0133CI231156</t>
  </si>
  <si>
    <t>NAINSHEE PARDHI</t>
  </si>
  <si>
    <t>0133CI231161</t>
  </si>
  <si>
    <t>NIDHI BEDUA</t>
  </si>
  <si>
    <t>0133CI231171</t>
  </si>
  <si>
    <t>NISHANT KUMAR SINGH</t>
  </si>
  <si>
    <t>0133CI231179</t>
  </si>
  <si>
    <t>PIYUSH JAIN</t>
  </si>
  <si>
    <t>0133CI231182</t>
  </si>
  <si>
    <t>POOJA KUMARI</t>
  </si>
  <si>
    <t>0133CI231134</t>
  </si>
  <si>
    <t>MADHUKAR KUMAR</t>
  </si>
  <si>
    <t>0133CI231143</t>
  </si>
  <si>
    <t>MD GUFRAN ALAM</t>
  </si>
  <si>
    <t>0133CI231147</t>
  </si>
  <si>
    <t>MEGHA KUMARI</t>
  </si>
  <si>
    <t>0133CI231294</t>
  </si>
  <si>
    <t>VISHAL SINGH</t>
  </si>
  <si>
    <t>0133CI231295</t>
  </si>
  <si>
    <t>VISHWAJEET KUMAR SINGH</t>
  </si>
  <si>
    <t>0133CI231297</t>
  </si>
  <si>
    <t>VIVEK KUMAR RAI</t>
  </si>
  <si>
    <t>0133CI231170</t>
  </si>
  <si>
    <t>NISHANT KUMAR</t>
  </si>
  <si>
    <t>0133CI231207</t>
  </si>
  <si>
    <t>PUSHKAR KESHARWANI</t>
  </si>
  <si>
    <t>0133CI231216</t>
  </si>
  <si>
    <t>RAUSHNI KUMARI</t>
  </si>
  <si>
    <t>0133CI231229</t>
  </si>
  <si>
    <t>RUPALI RAJPUT</t>
  </si>
  <si>
    <t>0133CI231236</t>
  </si>
  <si>
    <t>SALINI DHOKE</t>
  </si>
  <si>
    <t>0133CI231230</t>
  </si>
  <si>
    <t>RUSTAM ALI</t>
  </si>
  <si>
    <t>0133CI231227</t>
  </si>
  <si>
    <t>ROSHNI RAWAT</t>
  </si>
  <si>
    <t>0133CI231212</t>
  </si>
  <si>
    <t>RAJA YADAV</t>
  </si>
  <si>
    <t>0133CI231205</t>
  </si>
  <si>
    <t>PUNIT HARINKHEDE</t>
  </si>
  <si>
    <t>0133CI231240</t>
  </si>
  <si>
    <t>SANDEEP KUMAR MAHTO</t>
  </si>
  <si>
    <t>0133CI231190</t>
  </si>
  <si>
    <t>PRANJAL BHATERE</t>
  </si>
  <si>
    <t>0133CI231209</t>
  </si>
  <si>
    <t>0133CI231186</t>
  </si>
  <si>
    <t>PRACHEE KONDEKAR</t>
  </si>
  <si>
    <t>0133CI231233</t>
  </si>
  <si>
    <t>0133CI231217</t>
  </si>
  <si>
    <t>RAVI RAJ KUMAR YADAV</t>
  </si>
  <si>
    <t>0133CI231183</t>
  </si>
  <si>
    <t>POORVI BAGHEL</t>
  </si>
  <si>
    <t>0133CI231197</t>
  </si>
  <si>
    <t>PRINCE AHIRWAR</t>
  </si>
  <si>
    <t>0133CI231211</t>
  </si>
  <si>
    <t>RAJ TIWARI</t>
  </si>
  <si>
    <t>0133CI231198</t>
  </si>
  <si>
    <t>PRINCY NIKKAM</t>
  </si>
  <si>
    <t>0133CI231234</t>
  </si>
  <si>
    <t>SACHIN RAUTELA</t>
  </si>
  <si>
    <t>0133CI231268</t>
  </si>
  <si>
    <t>SHRADDHA RAWAT</t>
  </si>
  <si>
    <t>0133CI231258</t>
  </si>
  <si>
    <t>SHASWAT BHATNAGAR</t>
  </si>
  <si>
    <t>0133CI231272</t>
  </si>
  <si>
    <t>SIDDHANTH RICHHARIYA</t>
  </si>
  <si>
    <t>0133CI231303</t>
  </si>
  <si>
    <t>YOGITA NANDINI</t>
  </si>
  <si>
    <t>0133CI231266</t>
  </si>
  <si>
    <t>SHIVANSHU TIWARI</t>
  </si>
  <si>
    <t>0133CI231251</t>
  </si>
  <si>
    <t>SATYAM YADAV</t>
  </si>
  <si>
    <t>0133CI231301</t>
  </si>
  <si>
    <t>YASH VERMA</t>
  </si>
  <si>
    <t>0133CI231270</t>
  </si>
  <si>
    <t>SHREYA KUMARI</t>
  </si>
  <si>
    <t>0133CI231287</t>
  </si>
  <si>
    <t>TRISHA SINGH</t>
  </si>
  <si>
    <t>0133CI231257</t>
  </si>
  <si>
    <t>SHANU RAJPUT</t>
  </si>
  <si>
    <t>0133CI231245</t>
  </si>
  <si>
    <t>SANKET KUMAR SINGH</t>
  </si>
  <si>
    <t>0133CI231286</t>
  </si>
  <si>
    <t>TEJASVI GAIKWAD</t>
  </si>
  <si>
    <t>0133CI231275</t>
  </si>
  <si>
    <t>SONAM YADAV</t>
  </si>
  <si>
    <t>0133CI231280</t>
  </si>
  <si>
    <t>SUMIT DANGI</t>
  </si>
  <si>
    <t>0133CI231281</t>
  </si>
  <si>
    <t>SUNNY RANJAN</t>
  </si>
  <si>
    <t>0133CI231256</t>
  </si>
  <si>
    <t>SHAMBI GUPTA</t>
  </si>
  <si>
    <t>0133CI231277</t>
  </si>
  <si>
    <t>SOURAV TIWARI</t>
  </si>
  <si>
    <t>0133CI231304</t>
  </si>
  <si>
    <t>YUVRAJ BUNDELA</t>
  </si>
  <si>
    <t>0133CI231253</t>
  </si>
  <si>
    <t>SAURAV PAL</t>
  </si>
  <si>
    <t>0133CI231284</t>
  </si>
  <si>
    <t>TARUN PANCHESHWAR</t>
  </si>
  <si>
    <t>0133CL231071</t>
  </si>
  <si>
    <t>KAVERI KUMARI</t>
  </si>
  <si>
    <t>0133CI231298</t>
  </si>
  <si>
    <t>VRIHASPATI CHAUBEY</t>
  </si>
  <si>
    <t>Sagar Institute of Research and Technology, Bhopal</t>
  </si>
  <si>
    <t xml:space="preserve">S. No. </t>
  </si>
  <si>
    <t>BRACH</t>
  </si>
  <si>
    <t>SECTION</t>
  </si>
  <si>
    <t xml:space="preserve">Roll Number </t>
  </si>
  <si>
    <t>No. of students Appeared</t>
  </si>
  <si>
    <t xml:space="preserve">Class Room </t>
  </si>
  <si>
    <t>CSIT</t>
  </si>
  <si>
    <t>Total No. of students of CSIT</t>
  </si>
  <si>
    <t>I-Mid Sem Exam 6th Sem Jan-Jun 2026</t>
  </si>
  <si>
    <t>Department  of  CSIT</t>
  </si>
  <si>
    <t>F-307</t>
  </si>
  <si>
    <t>F-308</t>
  </si>
  <si>
    <t>F-309</t>
  </si>
  <si>
    <t>F-310</t>
  </si>
  <si>
    <t>DEPARTMENT OF COMPUTER SCIENCE &amp; INFORMATION TECHNOLOGY</t>
  </si>
  <si>
    <t xml:space="preserve"> MID SEM-1 JAN-JUNE-2026</t>
  </si>
  <si>
    <t xml:space="preserve"> Exam Duty Chart</t>
  </si>
  <si>
    <t>DATE</t>
  </si>
  <si>
    <t>Time</t>
  </si>
  <si>
    <t>Prof. Rahul Raghuwanshi</t>
  </si>
  <si>
    <t>Prof. Poonam Choubey</t>
  </si>
  <si>
    <t>Prof. Abhishek Chauhan</t>
  </si>
  <si>
    <t>Neetesh Gaur</t>
  </si>
  <si>
    <t>Prof. Richa Singh</t>
  </si>
  <si>
    <t>Prof. Akshay Sagar</t>
  </si>
  <si>
    <t>Prof. Rabiya Hanfi</t>
  </si>
  <si>
    <t xml:space="preserve">Faculty Name </t>
  </si>
  <si>
    <t>Duty Count</t>
  </si>
  <si>
    <t>1.Kindly report at least 15 minutes prior examination .</t>
  </si>
  <si>
    <t>2. If any faculty member is either absent or unable to perform invigilation duty, he/she should arrange substitute accordingly.</t>
  </si>
  <si>
    <t>3. Answer sheets to be submitted should be in order and properly counted.</t>
  </si>
  <si>
    <t>4. No Short leave allowed in First Half.</t>
  </si>
  <si>
    <t xml:space="preserve">1:00 PM - 03:00 PM </t>
  </si>
  <si>
    <t>9:00 A.M-11:00 A.M</t>
  </si>
  <si>
    <t>ROOM NO. F-307</t>
  </si>
  <si>
    <t>ROOM NO. F-308</t>
  </si>
  <si>
    <t>ROOM NO. F-309</t>
  </si>
  <si>
    <t>ROOM NO. F-310</t>
  </si>
  <si>
    <t>Diksha Pawar</t>
  </si>
  <si>
    <t>0133CI231293</t>
  </si>
  <si>
    <t>VIKRAM PATEL</t>
  </si>
  <si>
    <t>0133CI231263</t>
  </si>
  <si>
    <t>SHIVAM RAJ</t>
  </si>
  <si>
    <t>0133CI231255</t>
  </si>
  <si>
    <t>SHALU KUMAR</t>
  </si>
  <si>
    <t>0133CI231252</t>
  </si>
  <si>
    <t>SAURABH KUMAR OJHA</t>
  </si>
  <si>
    <t>0133CI231296</t>
  </si>
  <si>
    <t>VISHWAS NAMDEO</t>
  </si>
  <si>
    <t>0133CI231290</t>
  </si>
  <si>
    <t>UJJWAL TIWARI</t>
  </si>
  <si>
    <t>0133CI231302</t>
  </si>
  <si>
    <t>YOGESH SINGH RATHOUR</t>
  </si>
  <si>
    <t>0133CI231305</t>
  </si>
  <si>
    <t>YUVRAJ KUMAR</t>
  </si>
  <si>
    <t>0133CI231259</t>
  </si>
  <si>
    <t>SHIFA KHAN</t>
  </si>
  <si>
    <t>0133CI231261</t>
  </si>
  <si>
    <t>SHIVAM JAISWAL</t>
  </si>
  <si>
    <t>0133CI231274</t>
  </si>
  <si>
    <t>SOHIT RAHANGDALE</t>
  </si>
  <si>
    <t>0133CI231285</t>
  </si>
  <si>
    <t>TARUN SEN</t>
  </si>
  <si>
    <t>0133CI231283</t>
  </si>
  <si>
    <t>SYED SAQUIB</t>
  </si>
  <si>
    <t>0133CI231276</t>
  </si>
  <si>
    <t>SONU KUMAR</t>
  </si>
  <si>
    <t>0133CI231299</t>
  </si>
  <si>
    <t>YADAV JIGARKUMAR UDAY</t>
  </si>
  <si>
    <t>0133CI231288</t>
  </si>
  <si>
    <t>TUSHAR LADKE</t>
  </si>
  <si>
    <t>0133CI231262</t>
  </si>
  <si>
    <t>SHIVAM KUMAR</t>
  </si>
  <si>
    <t>0133CI231267</t>
  </si>
  <si>
    <t>SHIVSENA KUMAR</t>
  </si>
  <si>
    <t>0133CI231289</t>
  </si>
  <si>
    <t>UDAY DHAKAD</t>
  </si>
  <si>
    <t>0133CI231282</t>
  </si>
  <si>
    <t>SUYASH SHRIVASTAVA</t>
  </si>
  <si>
    <t>0133CI231273</t>
  </si>
  <si>
    <t>SOHAIL AKHTAR</t>
  </si>
  <si>
    <t>0133CI231291</t>
  </si>
  <si>
    <t>VAIBHAV DUBEY</t>
  </si>
  <si>
    <t>0133CI231264</t>
  </si>
  <si>
    <t>SHIVAM SHARMA</t>
  </si>
  <si>
    <t>0133CI231213</t>
  </si>
  <si>
    <t>RAJESH KUMAR</t>
  </si>
  <si>
    <t>0133CI231191</t>
  </si>
  <si>
    <t>PRASHANT KUMAR TIWARI</t>
  </si>
  <si>
    <t>0133CI231189</t>
  </si>
  <si>
    <t>PRAN KRISHNA MAITY</t>
  </si>
  <si>
    <t>0133CI231241</t>
  </si>
  <si>
    <t>SANDEEP MEENA</t>
  </si>
  <si>
    <t>0133CI231219</t>
  </si>
  <si>
    <t>RITESH SINGH</t>
  </si>
  <si>
    <t>0133CI231208</t>
  </si>
  <si>
    <t>RAGINI KUMARI</t>
  </si>
  <si>
    <t>0133CI231199</t>
  </si>
  <si>
    <t>PRIYA PRAJAPATI</t>
  </si>
  <si>
    <t>0133CI231238</t>
  </si>
  <si>
    <t>SAMEEKSHA SAHU</t>
  </si>
  <si>
    <t>0133CI231195</t>
  </si>
  <si>
    <t>PREETI LOKHANDE</t>
  </si>
  <si>
    <t>0133CI231196</t>
  </si>
  <si>
    <t>PREM BHUSHAN RAY</t>
  </si>
  <si>
    <t>0133CI231188</t>
  </si>
  <si>
    <t>PRAGYAN DIXIT</t>
  </si>
  <si>
    <t>0133CI231187</t>
  </si>
  <si>
    <t>PRAGYA SINGH</t>
  </si>
  <si>
    <t>0133CI231237</t>
  </si>
  <si>
    <t>SAMEEKSHA JAIN</t>
  </si>
  <si>
    <t>0133CI231243</t>
  </si>
  <si>
    <t>SANJEET KUMAR</t>
  </si>
  <si>
    <t>0133CI231242</t>
  </si>
  <si>
    <t>SANIA RAI</t>
  </si>
  <si>
    <t>0133CI231201</t>
  </si>
  <si>
    <t>PRIYANSHU KUMAR</t>
  </si>
  <si>
    <t>0133CI231226</t>
  </si>
  <si>
    <t>ROHIT TIWARI</t>
  </si>
  <si>
    <t>0133CI231221</t>
  </si>
  <si>
    <t>ROHIT KUMAR</t>
  </si>
  <si>
    <t>0133CI231192</t>
  </si>
  <si>
    <t>PRASHANT PATEL</t>
  </si>
  <si>
    <t>0133CI231204</t>
  </si>
  <si>
    <t>0133CI231232</t>
  </si>
  <si>
    <t>0133CI231206</t>
  </si>
  <si>
    <t>PURVI BADGAIYA</t>
  </si>
  <si>
    <t>0133CI231210</t>
  </si>
  <si>
    <t>0133CI231220</t>
  </si>
  <si>
    <t>RITURAJ GUPTA</t>
  </si>
  <si>
    <t>0133CI231202</t>
  </si>
  <si>
    <t>0133CI231214</t>
  </si>
  <si>
    <t>RAMAN KUMAR CHAUBEY</t>
  </si>
  <si>
    <t>0133CI231223</t>
  </si>
  <si>
    <t>0133CI231193</t>
  </si>
  <si>
    <t>PRAVEEN GUPTA</t>
  </si>
  <si>
    <t>0133CI231200</t>
  </si>
  <si>
    <t>PRIYANKA RATHORE</t>
  </si>
  <si>
    <t>0133CI231203</t>
  </si>
  <si>
    <t>0133CI231228</t>
  </si>
  <si>
    <t>RUCHIKA KANADE</t>
  </si>
  <si>
    <t>0133CI231239</t>
  </si>
  <si>
    <t>SAMEER AHMAD</t>
  </si>
  <si>
    <t>0133CI231215</t>
  </si>
  <si>
    <t>RANU SINGH</t>
  </si>
  <si>
    <t>0133CI231181</t>
  </si>
  <si>
    <t>PIYUSH NIRVIKAR</t>
  </si>
  <si>
    <t>0133CI231162</t>
  </si>
  <si>
    <t>NIHAL PANDEY</t>
  </si>
  <si>
    <t>0133CI231135</t>
  </si>
  <si>
    <t>MAHENDRA SINGH MAIDA</t>
  </si>
  <si>
    <t>0133CI231137</t>
  </si>
  <si>
    <t>MANORANJAN KUMAR</t>
  </si>
  <si>
    <t>0133CI231163</t>
  </si>
  <si>
    <t>NIHAL RAJ</t>
  </si>
  <si>
    <t>0133CI231164</t>
  </si>
  <si>
    <t>NIHARIKA SINGH</t>
  </si>
  <si>
    <t>0133CI231167</t>
  </si>
  <si>
    <t>NIKITA MEHRA</t>
  </si>
  <si>
    <t>0133CI231138</t>
  </si>
  <si>
    <t>MAYANK SHARMA</t>
  </si>
  <si>
    <t>0133CI231124</t>
  </si>
  <si>
    <t>KRISHNA KUMAR SINGH</t>
  </si>
  <si>
    <t>0133CI231132</t>
  </si>
  <si>
    <t>LOKESH YADUWANSHI</t>
  </si>
  <si>
    <t>0133CI231149</t>
  </si>
  <si>
    <t>MINALI JHARBADE</t>
  </si>
  <si>
    <t>0133CI231177</t>
  </si>
  <si>
    <t>PAWAN KUMAR SINGH</t>
  </si>
  <si>
    <t>0133CI231140</t>
  </si>
  <si>
    <t>MD ARSAD ALAM</t>
  </si>
  <si>
    <t>0133CI231173</t>
  </si>
  <si>
    <t>OM ASATI</t>
  </si>
  <si>
    <t>0133CI231139</t>
  </si>
  <si>
    <t>MAYUR KHAKRE</t>
  </si>
  <si>
    <t>0133CI231145</t>
  </si>
  <si>
    <t>MD SADIQ</t>
  </si>
  <si>
    <t>0133CI231172</t>
  </si>
  <si>
    <t>NITIN PINDEKAR</t>
  </si>
  <si>
    <t>0133CI231142</t>
  </si>
  <si>
    <t>MD FAIZAN AHMAD</t>
  </si>
  <si>
    <t>0133CI243D12</t>
  </si>
  <si>
    <t>SIFTAIN KHAN</t>
  </si>
  <si>
    <t>0133CI231130</t>
  </si>
  <si>
    <t>LALIT THAKRE</t>
  </si>
  <si>
    <t>0133CI231146</t>
  </si>
  <si>
    <t>MD WAQAS</t>
  </si>
  <si>
    <t>0133CI231144</t>
  </si>
  <si>
    <t>MD KAIF</t>
  </si>
  <si>
    <t>0133CI231169</t>
  </si>
  <si>
    <t>0133CI231175</t>
  </si>
  <si>
    <t>PAPPU KUMAR</t>
  </si>
  <si>
    <t>0133CI243D08</t>
  </si>
  <si>
    <t>OM VISHWAKARMA</t>
  </si>
  <si>
    <t>0133CI231159</t>
  </si>
  <si>
    <t>NARENDRA</t>
  </si>
  <si>
    <t>0133CI231136</t>
  </si>
  <si>
    <t>MANIKANT SHARMA</t>
  </si>
  <si>
    <t>0133CI243D13</t>
  </si>
  <si>
    <t>SURAJ KUMAR</t>
  </si>
  <si>
    <t>0133CI231150</t>
  </si>
  <si>
    <t>MOHAMMAD JUNED</t>
  </si>
  <si>
    <t>0133CI231152</t>
  </si>
  <si>
    <t>MOHIT OJHA</t>
  </si>
  <si>
    <t>0133CI231165</t>
  </si>
  <si>
    <t>NIKHIL KUMAR</t>
  </si>
  <si>
    <t>0133CI231151</t>
  </si>
  <si>
    <t>MOHD NOOR SAYYED</t>
  </si>
  <si>
    <t>0133CI243D09</t>
  </si>
  <si>
    <t>PANKAJ RAJBHAR</t>
  </si>
  <si>
    <t>0133CI231141</t>
  </si>
  <si>
    <t>MD DANISH ALAM</t>
  </si>
  <si>
    <t>0133CI231148</t>
  </si>
  <si>
    <t>MILAN KUMAR</t>
  </si>
  <si>
    <t>0133CI231176</t>
  </si>
  <si>
    <t>PARV MODI</t>
  </si>
  <si>
    <t>0133CI231120</t>
  </si>
  <si>
    <t>KESHAV YADUWANSHI</t>
  </si>
  <si>
    <t>0133CI231077</t>
  </si>
  <si>
    <t>BIMLESH KUMAR PANDEY</t>
  </si>
  <si>
    <t>0133CI231098</t>
  </si>
  <si>
    <t>GULSHAN KUMAR</t>
  </si>
  <si>
    <t>0133CI243D06</t>
  </si>
  <si>
    <t>MD TARIK</t>
  </si>
  <si>
    <t>0133CI231070</t>
  </si>
  <si>
    <t>AYUSH RAJ</t>
  </si>
  <si>
    <t>0133CI231099</t>
  </si>
  <si>
    <t>GYAYAK JAIN</t>
  </si>
  <si>
    <t>0133CI231064</t>
  </si>
  <si>
    <t>ATUL MATRE</t>
  </si>
  <si>
    <t>0133CI231087</t>
  </si>
  <si>
    <t>DEVANSH TIWARI</t>
  </si>
  <si>
    <t>0133CI231111</t>
  </si>
  <si>
    <t>JITENDRA VISHWAKARMA</t>
  </si>
  <si>
    <t>0133CI243D07</t>
  </si>
  <si>
    <t>MOHIT BELKHADE</t>
  </si>
  <si>
    <t>0133CI231094</t>
  </si>
  <si>
    <t>GOURAV</t>
  </si>
  <si>
    <t>0133CI231093</t>
  </si>
  <si>
    <t>GOSHIYA FATIMA</t>
  </si>
  <si>
    <t>0133CI231115</t>
  </si>
  <si>
    <t>KASHISH SISODIYA</t>
  </si>
  <si>
    <t>0133CI243D05</t>
  </si>
  <si>
    <t>MANISHA PARTE</t>
  </si>
  <si>
    <t>0133CI231108</t>
  </si>
  <si>
    <t>ISHAN TIWARI</t>
  </si>
  <si>
    <t>0133CI243D04</t>
  </si>
  <si>
    <t>LAVANIA KETAN RAJEEV</t>
  </si>
  <si>
    <t>0133CI231018</t>
  </si>
  <si>
    <t>AISHIKA ANAND</t>
  </si>
  <si>
    <t>0133CI231056</t>
  </si>
  <si>
    <t>ARVIND TAHARIYA</t>
  </si>
  <si>
    <t>0133CI231009</t>
  </si>
  <si>
    <t>ABHISHEK KUMAR RANA</t>
  </si>
  <si>
    <t>0133CI231007</t>
  </si>
  <si>
    <t>ABHIJEET GAUTAM</t>
  </si>
  <si>
    <t>0133CI231026</t>
  </si>
  <si>
    <t>AMIT SAHU</t>
  </si>
  <si>
    <t>0133CI231032</t>
  </si>
  <si>
    <t>ANISH KUMAR</t>
  </si>
  <si>
    <t>0133CI231019</t>
  </si>
  <si>
    <t>AKASH KUMAR SINGH</t>
  </si>
  <si>
    <t>0133CI231042</t>
  </si>
  <si>
    <t>ANKIT KUMAR GIRI</t>
  </si>
  <si>
    <t>0133CI231028</t>
  </si>
  <si>
    <t>ANAS ANSARI</t>
  </si>
  <si>
    <t>0133CI231057</t>
  </si>
  <si>
    <t>ASHISH KUMAR JHA</t>
  </si>
  <si>
    <t>0133CI231015</t>
  </si>
  <si>
    <t>ADITYA MAHAJAN</t>
  </si>
  <si>
    <t>0133CI231021</t>
  </si>
  <si>
    <t>AMAAN ULLAH KHAN</t>
  </si>
  <si>
    <t>0133CI231025</t>
  </si>
  <si>
    <t>AMIT KUMAR JAIN</t>
  </si>
  <si>
    <t>0133CI231034</t>
  </si>
  <si>
    <t>ANJALI KUMARI</t>
  </si>
  <si>
    <t>0133CI231012</t>
  </si>
  <si>
    <t>ADITYA DANGI</t>
  </si>
  <si>
    <t>0133CI231011</t>
  </si>
  <si>
    <t>ADARSH KUMAR</t>
  </si>
  <si>
    <t>0133CI231054</t>
  </si>
  <si>
    <t>ARPANA KUMARI</t>
  </si>
  <si>
    <t>0133CI231020</t>
  </si>
  <si>
    <t>ALOK KUMAR</t>
  </si>
  <si>
    <t>0133CI231017</t>
  </si>
  <si>
    <t>ADITYA SHARAN MISHRA</t>
  </si>
  <si>
    <t>0133CI231005</t>
  </si>
  <si>
    <t>ABHAY KESHARWANI</t>
  </si>
  <si>
    <t>0133CI231006</t>
  </si>
  <si>
    <t>ABHAY KURMI</t>
  </si>
  <si>
    <t>0133CI231023</t>
  </si>
  <si>
    <t>AMAN KUMAR SINGH</t>
  </si>
  <si>
    <t>0133CI231047</t>
  </si>
  <si>
    <t>ANSHIKA TIWARI</t>
  </si>
  <si>
    <t>0133CI231010</t>
  </si>
  <si>
    <t>ABHISHEK VISHWAKARMA</t>
  </si>
  <si>
    <t>0133CI231058</t>
  </si>
  <si>
    <t>ASHISH MODI</t>
  </si>
  <si>
    <t>0133CI231030</t>
  </si>
  <si>
    <t>ANIL JATAV</t>
  </si>
  <si>
    <t>0133CI231016</t>
  </si>
  <si>
    <t>ADITYA RAJ</t>
  </si>
  <si>
    <t>0133CI231043</t>
  </si>
  <si>
    <t>ANKIT KURMI</t>
  </si>
  <si>
    <t>0133CI231045</t>
  </si>
  <si>
    <t>ANKUSH SINGH</t>
  </si>
  <si>
    <t>0133CI231027</t>
  </si>
  <si>
    <t>ANAND KUMAR</t>
  </si>
  <si>
    <t>0133CI231046</t>
  </si>
  <si>
    <t>ANOOP SINGH PATEL</t>
  </si>
  <si>
    <t>0133CI231004</t>
  </si>
  <si>
    <t>AASIM ARFAT</t>
  </si>
  <si>
    <t>0133CI231037</t>
  </si>
  <si>
    <t>ANKIT CHANDRAWANSHI</t>
  </si>
  <si>
    <t>0133CI231002,08,14,24,35,36,40,48,50,55, 59, 0133CI243D15</t>
  </si>
  <si>
    <t>0133CI231122,128,131,133,134,143,147,
153,155,156,158,160,161,166,170,171,
178,179,182,294,295,297,0133CI243D10</t>
  </si>
  <si>
    <t>0133CI231183,186,190,197,198,205,207,209,
211,212,216,217,227,229,230,233,234,236,
240</t>
  </si>
  <si>
    <t>0133CI231062,063,068,069,073,074,075,076,
078,080,081,082,084,085,086,088,089,090</t>
  </si>
  <si>
    <t>0133CI231113,116,118,119,121,
0133CI243D03</t>
  </si>
  <si>
    <t>0133CI231091,092,096,097,100,101,104,
105,109,110,112</t>
  </si>
  <si>
    <t>0133CI231245,251,253,256,257,258,265
266,268,270,272,275,277,280,281,284,286,
287,298,301,303,304,0133CL231071</t>
  </si>
  <si>
    <t>0133CI231265</t>
  </si>
  <si>
    <t>SHIVANSHU KUMAR TIWARI</t>
  </si>
  <si>
    <t>0133CI221049</t>
  </si>
  <si>
    <t>Aryan Nayak</t>
  </si>
  <si>
    <t>I MID SEM Result Analysis Report JAN-JUN 2026</t>
  </si>
  <si>
    <t>SEMESTER:- 6th Sem (JAN-JUN 2026)</t>
  </si>
  <si>
    <t>CSIT-601 
SE</t>
  </si>
  <si>
    <t>CSIT-602 ML</t>
  </si>
  <si>
    <t>CSIT-603(B) CGM</t>
  </si>
  <si>
    <t>CSIT-604(B) CRYPTOGRAPHY</t>
  </si>
  <si>
    <t>Dr. Sachin Murarka</t>
  </si>
  <si>
    <t>CSIT 6th A Sem  Debarred list</t>
  </si>
  <si>
    <t>CSIT 6th B Sem  Debarred list</t>
  </si>
  <si>
    <t>CSIT 6th C Sem  Debarred list</t>
  </si>
  <si>
    <t>CSIT 6th D Sem  Debarred list</t>
  </si>
  <si>
    <t>CSIT 6th Sem E Debarred list</t>
  </si>
  <si>
    <t>0133CI231247</t>
  </si>
  <si>
    <t>SARGAM KURMI</t>
  </si>
  <si>
    <t>0133CI231249</t>
  </si>
  <si>
    <t>SATYAM SAHU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</si>
</sst>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8" x14ac:knownFonts="1">
    <font>
      <sz val="10"/>
      <color rgb="FF000000"/>
      <name val="Arial"/>
      <scheme val="minor"/>
    </font>
    <font>
      <sz val="10"/>
      <color rgb="FF000000"/>
      <name val="Arial"/>
    </font>
    <font>
      <b/>
      <sz val="11"/>
      <color theme="1"/>
      <name val="Calibri"/>
    </font>
    <font>
      <sz val="12"/>
      <color theme="1"/>
      <name val="Times New Roman"/>
    </font>
    <font>
      <b/>
      <sz val="20"/>
      <color theme="1"/>
      <name val="Times New Roman"/>
    </font>
    <font>
      <sz val="10"/>
      <name val="Arial"/>
    </font>
    <font>
      <b/>
      <sz val="13"/>
      <color theme="1"/>
      <name val="Calibri"/>
    </font>
    <font>
      <sz val="13"/>
      <color theme="1"/>
      <name val="Calibri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b/>
      <sz val="16"/>
      <color rgb="FF000000"/>
      <name val="Calibri"/>
    </font>
    <font>
      <sz val="11"/>
      <color rgb="FF000000"/>
      <name val="Calibri"/>
    </font>
    <font>
      <sz val="16"/>
      <color rgb="FF000000"/>
      <name val="Calibri"/>
    </font>
    <font>
      <sz val="10"/>
      <color rgb="FF000000"/>
      <name val="Arial"/>
    </font>
    <font>
      <b/>
      <sz val="14"/>
      <color rgb="FF000000"/>
      <name val="Calibri"/>
    </font>
    <font>
      <b/>
      <sz val="11"/>
      <color rgb="FF000000"/>
      <name val="Calibri"/>
    </font>
    <font>
      <b/>
      <sz val="14"/>
      <color theme="1"/>
      <name val="Calibri"/>
    </font>
    <font>
      <sz val="12"/>
      <color theme="1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3"/>
      <color theme="1"/>
      <name val="Times New Roman"/>
      <family val="1"/>
    </font>
    <font>
      <sz val="12"/>
      <color rgb="FF000000"/>
      <name val="Times New Roman"/>
      <family val="1"/>
    </font>
    <font>
      <b/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1"/>
      <color theme="1"/>
      <name val="Times New Roman"/>
      <family val="1"/>
    </font>
    <font>
      <sz val="13"/>
      <name val="Times New Roman"/>
      <family val="1"/>
    </font>
    <font>
      <sz val="10"/>
      <color theme="1"/>
      <name val="Times New Roman"/>
      <family val="1"/>
    </font>
    <font>
      <b/>
      <sz val="13"/>
      <color theme="1"/>
      <name val="Calibri"/>
      <family val="2"/>
    </font>
    <font>
      <sz val="13"/>
      <name val="Arial"/>
      <family val="2"/>
    </font>
    <font>
      <sz val="11"/>
      <name val="Calibri"/>
    </font>
    <font>
      <b/>
      <sz val="18"/>
      <name val="Times New Roman"/>
      <family val="1"/>
    </font>
    <font>
      <sz val="8"/>
      <name val="Arial"/>
      <scheme val="minor"/>
    </font>
    <font>
      <sz val="11"/>
      <color theme="1"/>
      <name val="Calibri"/>
      <family val="2"/>
      <charset val="1"/>
    </font>
    <font>
      <b/>
      <sz val="9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0"/>
      <color rgb="FF000000"/>
      <name val="Arial"/>
      <scheme val="minor"/>
    </font>
    <font>
      <b/>
      <sz val="22"/>
      <name val="Calibri"/>
      <family val="2"/>
    </font>
    <font>
      <sz val="22"/>
      <name val="Calibri"/>
      <family val="2"/>
    </font>
    <font>
      <sz val="13"/>
      <color theme="1"/>
      <name val="Calibri"/>
      <family val="2"/>
    </font>
    <font>
      <sz val="10"/>
      <color theme="1"/>
      <name val="Arial"/>
      <family val="2"/>
      <scheme val="minor"/>
    </font>
    <font>
      <sz val="13"/>
      <name val="Times New Roman"/>
    </font>
    <font>
      <sz val="16"/>
      <color theme="1"/>
      <name val="Calibri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Arial"/>
      <family val="2"/>
    </font>
    <font>
      <b/>
      <sz val="16"/>
      <color theme="1"/>
      <name val="Calibri"/>
      <family val="2"/>
    </font>
    <font>
      <b/>
      <sz val="10"/>
      <color rgb="FF000000"/>
      <name val="Arial"/>
      <family val="2"/>
      <scheme val="minor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0" fillId="0" borderId="9"/>
    <xf numFmtId="0" fontId="33" fillId="0" borderId="9"/>
    <xf numFmtId="0" fontId="40" fillId="0" borderId="9"/>
    <xf numFmtId="0" fontId="40" fillId="0" borderId="9"/>
    <xf numFmtId="0" fontId="40" fillId="0" borderId="9"/>
    <xf numFmtId="0" fontId="40" fillId="0" borderId="9"/>
  </cellStyleXfs>
  <cellXfs count="25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7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0" xfId="0" applyFont="1"/>
    <xf numFmtId="0" fontId="8" fillId="0" borderId="0" xfId="0" applyFont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10" fillId="0" borderId="0" xfId="0" applyFont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12" fillId="0" borderId="0" xfId="0" applyFont="1"/>
    <xf numFmtId="0" fontId="12" fillId="0" borderId="19" xfId="0" applyFont="1" applyBorder="1"/>
    <xf numFmtId="0" fontId="14" fillId="0" borderId="0" xfId="0" applyFont="1"/>
    <xf numFmtId="0" fontId="12" fillId="0" borderId="20" xfId="0" applyFont="1" applyBorder="1"/>
    <xf numFmtId="0" fontId="15" fillId="0" borderId="1" xfId="0" applyFont="1" applyBorder="1" applyAlignment="1">
      <alignment horizontal="center"/>
    </xf>
    <xf numFmtId="0" fontId="14" fillId="0" borderId="20" xfId="0" applyFont="1" applyBorder="1"/>
    <xf numFmtId="0" fontId="15" fillId="0" borderId="5" xfId="0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21" xfId="0" applyFont="1" applyBorder="1" applyAlignment="1">
      <alignment horizontal="center"/>
    </xf>
    <xf numFmtId="0" fontId="12" fillId="0" borderId="22" xfId="0" applyFont="1" applyBorder="1"/>
    <xf numFmtId="0" fontId="12" fillId="0" borderId="23" xfId="0" applyFont="1" applyBorder="1"/>
    <xf numFmtId="0" fontId="12" fillId="0" borderId="21" xfId="0" applyFont="1" applyBorder="1"/>
    <xf numFmtId="10" fontId="17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 wrapText="1"/>
    </xf>
    <xf numFmtId="0" fontId="20" fillId="0" borderId="0" xfId="0" applyFont="1"/>
    <xf numFmtId="0" fontId="21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left" vertical="center"/>
    </xf>
    <xf numFmtId="1" fontId="22" fillId="3" borderId="1" xfId="0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3" fontId="23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1" fontId="20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left" vertical="center"/>
    </xf>
    <xf numFmtId="1" fontId="24" fillId="3" borderId="1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0" fontId="21" fillId="0" borderId="0" xfId="0" applyFont="1"/>
    <xf numFmtId="0" fontId="25" fillId="2" borderId="9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10" fontId="23" fillId="0" borderId="1" xfId="0" applyNumberFormat="1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left" vertical="center" wrapText="1"/>
    </xf>
    <xf numFmtId="15" fontId="21" fillId="0" borderId="1" xfId="0" applyNumberFormat="1" applyFont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30" fillId="0" borderId="9" xfId="1"/>
    <xf numFmtId="0" fontId="30" fillId="0" borderId="9" xfId="1" applyAlignment="1">
      <alignment horizontal="center"/>
    </xf>
    <xf numFmtId="0" fontId="30" fillId="0" borderId="9" xfId="1" applyAlignment="1">
      <alignment vertical="center"/>
    </xf>
    <xf numFmtId="0" fontId="35" fillId="0" borderId="9" xfId="2" applyFont="1" applyAlignment="1">
      <alignment horizontal="center"/>
    </xf>
    <xf numFmtId="0" fontId="35" fillId="0" borderId="9" xfId="2" applyFont="1"/>
    <xf numFmtId="0" fontId="36" fillId="0" borderId="0" xfId="0" applyFont="1"/>
    <xf numFmtId="0" fontId="35" fillId="0" borderId="19" xfId="2" applyFont="1" applyBorder="1" applyAlignment="1">
      <alignment horizontal="center"/>
    </xf>
    <xf numFmtId="15" fontId="34" fillId="0" borderId="36" xfId="2" applyNumberFormat="1" applyFont="1" applyBorder="1" applyAlignment="1">
      <alignment horizontal="center" vertical="center" wrapText="1"/>
    </xf>
    <xf numFmtId="0" fontId="34" fillId="0" borderId="36" xfId="2" applyFont="1" applyBorder="1" applyAlignment="1">
      <alignment horizontal="center" vertical="center" wrapText="1"/>
    </xf>
    <xf numFmtId="0" fontId="34" fillId="5" borderId="36" xfId="2" applyFont="1" applyFill="1" applyBorder="1" applyAlignment="1">
      <alignment vertical="center" wrapText="1"/>
    </xf>
    <xf numFmtId="0" fontId="34" fillId="5" borderId="9" xfId="2" applyFont="1" applyFill="1" applyAlignment="1">
      <alignment vertical="center" wrapText="1"/>
    </xf>
    <xf numFmtId="0" fontId="37" fillId="5" borderId="36" xfId="0" applyFont="1" applyFill="1" applyBorder="1" applyAlignment="1">
      <alignment vertical="center" wrapText="1"/>
    </xf>
    <xf numFmtId="0" fontId="37" fillId="5" borderId="36" xfId="2" applyFont="1" applyFill="1" applyBorder="1" applyAlignment="1">
      <alignment vertical="center" wrapText="1"/>
    </xf>
    <xf numFmtId="0" fontId="38" fillId="0" borderId="9" xfId="2" applyFont="1"/>
    <xf numFmtId="0" fontId="37" fillId="0" borderId="9" xfId="2" applyFont="1"/>
    <xf numFmtId="0" fontId="39" fillId="0" borderId="9" xfId="2" applyFont="1"/>
    <xf numFmtId="0" fontId="37" fillId="0" borderId="36" xfId="2" applyFont="1" applyBorder="1" applyAlignment="1">
      <alignment vertical="center" wrapText="1"/>
    </xf>
    <xf numFmtId="0" fontId="37" fillId="5" borderId="36" xfId="2" applyFont="1" applyFill="1" applyBorder="1" applyAlignment="1">
      <alignment horizontal="center" vertical="center" wrapText="1"/>
    </xf>
    <xf numFmtId="0" fontId="37" fillId="5" borderId="36" xfId="2" applyFont="1" applyFill="1" applyBorder="1" applyAlignment="1">
      <alignment horizontal="center" wrapText="1"/>
    </xf>
    <xf numFmtId="0" fontId="37" fillId="0" borderId="9" xfId="2" applyFont="1" applyAlignment="1">
      <alignment vertical="center" wrapText="1"/>
    </xf>
    <xf numFmtId="0" fontId="37" fillId="5" borderId="9" xfId="2" applyFont="1" applyFill="1" applyAlignment="1">
      <alignment horizontal="center" wrapText="1"/>
    </xf>
    <xf numFmtId="0" fontId="38" fillId="0" borderId="9" xfId="2" applyFont="1" applyAlignment="1">
      <alignment horizontal="left" vertical="center"/>
    </xf>
    <xf numFmtId="0" fontId="34" fillId="5" borderId="36" xfId="0" applyFont="1" applyFill="1" applyBorder="1" applyAlignment="1">
      <alignment vertical="center" wrapText="1"/>
    </xf>
    <xf numFmtId="0" fontId="24" fillId="0" borderId="0" xfId="0" applyFont="1"/>
    <xf numFmtId="0" fontId="23" fillId="2" borderId="3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3" fillId="0" borderId="3" xfId="0" applyFont="1" applyBorder="1" applyAlignment="1">
      <alignment horizontal="center" vertical="center" wrapText="1"/>
    </xf>
    <xf numFmtId="0" fontId="24" fillId="0" borderId="36" xfId="0" applyFont="1" applyBorder="1" applyAlignment="1">
      <alignment horizontal="center"/>
    </xf>
    <xf numFmtId="0" fontId="24" fillId="3" borderId="36" xfId="0" applyFont="1" applyFill="1" applyBorder="1" applyAlignment="1">
      <alignment horizontal="center" vertical="center" wrapText="1"/>
    </xf>
    <xf numFmtId="0" fontId="24" fillId="3" borderId="36" xfId="0" applyFont="1" applyFill="1" applyBorder="1" applyAlignment="1">
      <alignment horizontal="left" vertical="center" wrapText="1"/>
    </xf>
    <xf numFmtId="1" fontId="24" fillId="3" borderId="36" xfId="0" applyNumberFormat="1" applyFont="1" applyFill="1" applyBorder="1" applyAlignment="1">
      <alignment horizontal="center" vertical="center" wrapText="1"/>
    </xf>
    <xf numFmtId="0" fontId="24" fillId="0" borderId="36" xfId="0" applyFont="1" applyBorder="1"/>
    <xf numFmtId="0" fontId="24" fillId="0" borderId="36" xfId="0" applyFont="1" applyBorder="1" applyAlignment="1">
      <alignment horizontal="center" vertical="center" wrapText="1"/>
    </xf>
    <xf numFmtId="0" fontId="24" fillId="0" borderId="36" xfId="0" applyFont="1" applyBorder="1" applyAlignment="1">
      <alignment horizontal="left" vertical="center" wrapText="1"/>
    </xf>
    <xf numFmtId="0" fontId="24" fillId="3" borderId="36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left" vertical="center"/>
    </xf>
    <xf numFmtId="0" fontId="41" fillId="0" borderId="36" xfId="1" applyFont="1" applyBorder="1" applyAlignment="1">
      <alignment horizontal="center" vertical="center"/>
    </xf>
    <xf numFmtId="0" fontId="41" fillId="0" borderId="36" xfId="1" applyFont="1" applyBorder="1" applyAlignment="1">
      <alignment horizontal="center" vertical="center" wrapText="1"/>
    </xf>
    <xf numFmtId="0" fontId="42" fillId="0" borderId="36" xfId="1" applyFont="1" applyBorder="1" applyAlignment="1">
      <alignment horizontal="center" vertical="center"/>
    </xf>
    <xf numFmtId="0" fontId="41" fillId="0" borderId="9" xfId="1" applyFont="1" applyAlignment="1">
      <alignment horizontal="center" vertical="center"/>
    </xf>
    <xf numFmtId="0" fontId="42" fillId="0" borderId="9" xfId="1" applyFont="1" applyAlignment="1">
      <alignment horizontal="center"/>
    </xf>
    <xf numFmtId="0" fontId="41" fillId="0" borderId="37" xfId="1" applyFont="1" applyBorder="1" applyAlignment="1">
      <alignment horizontal="center" vertical="center" wrapText="1"/>
    </xf>
    <xf numFmtId="0" fontId="42" fillId="0" borderId="9" xfId="1" applyFont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21" fillId="0" borderId="1" xfId="4" applyFont="1" applyBorder="1" applyAlignment="1">
      <alignment horizontal="center" vertical="center"/>
    </xf>
    <xf numFmtId="0" fontId="20" fillId="3" borderId="1" xfId="5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5" fillId="2" borderId="36" xfId="0" applyFont="1" applyFill="1" applyBorder="1" applyAlignment="1">
      <alignment horizontal="center" vertical="center"/>
    </xf>
    <xf numFmtId="0" fontId="45" fillId="0" borderId="1" xfId="6" applyFont="1" applyBorder="1" applyAlignment="1">
      <alignment horizontal="center" vertical="center"/>
    </xf>
    <xf numFmtId="0" fontId="20" fillId="3" borderId="36" xfId="0" applyFont="1" applyFill="1" applyBorder="1" applyAlignment="1">
      <alignment horizontal="center" vertical="center" wrapText="1"/>
    </xf>
    <xf numFmtId="0" fontId="25" fillId="0" borderId="3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9" fillId="0" borderId="0" xfId="0" applyFont="1"/>
    <xf numFmtId="0" fontId="49" fillId="0" borderId="27" xfId="0" applyFont="1" applyBorder="1"/>
    <xf numFmtId="0" fontId="50" fillId="0" borderId="0" xfId="0" applyFont="1"/>
    <xf numFmtId="0" fontId="49" fillId="0" borderId="28" xfId="0" applyFont="1" applyBorder="1"/>
    <xf numFmtId="0" fontId="50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0" fontId="50" fillId="0" borderId="28" xfId="0" applyFont="1" applyBorder="1" applyAlignment="1">
      <alignment vertical="center"/>
    </xf>
    <xf numFmtId="0" fontId="51" fillId="0" borderId="29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10" fontId="51" fillId="0" borderId="1" xfId="0" applyNumberFormat="1" applyFont="1" applyBorder="1" applyAlignment="1">
      <alignment horizontal="center"/>
    </xf>
    <xf numFmtId="10" fontId="51" fillId="0" borderId="0" xfId="0" applyNumberFormat="1" applyFont="1" applyAlignment="1">
      <alignment horizontal="center"/>
    </xf>
    <xf numFmtId="0" fontId="50" fillId="0" borderId="28" xfId="0" applyFont="1" applyBorder="1"/>
    <xf numFmtId="0" fontId="51" fillId="0" borderId="1" xfId="0" applyFont="1" applyBorder="1" applyAlignment="1">
      <alignment horizontal="center" wrapText="1"/>
    </xf>
    <xf numFmtId="10" fontId="51" fillId="0" borderId="31" xfId="0" applyNumberFormat="1" applyFont="1" applyBorder="1" applyAlignment="1">
      <alignment horizontal="center"/>
    </xf>
    <xf numFmtId="0" fontId="49" fillId="0" borderId="32" xfId="0" applyFont="1" applyBorder="1"/>
    <xf numFmtId="0" fontId="49" fillId="0" borderId="33" xfId="0" applyFont="1" applyBorder="1"/>
    <xf numFmtId="0" fontId="49" fillId="0" borderId="34" xfId="0" applyFont="1" applyBorder="1"/>
    <xf numFmtId="0" fontId="52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 wrapText="1"/>
    </xf>
    <xf numFmtId="0" fontId="52" fillId="0" borderId="31" xfId="0" applyFont="1" applyBorder="1" applyAlignment="1">
      <alignment horizontal="center" vertical="center"/>
    </xf>
    <xf numFmtId="0" fontId="52" fillId="0" borderId="29" xfId="0" applyFont="1" applyBorder="1" applyAlignment="1">
      <alignment horizontal="center" vertical="center"/>
    </xf>
    <xf numFmtId="0" fontId="54" fillId="0" borderId="27" xfId="0" applyFont="1" applyBorder="1"/>
    <xf numFmtId="0" fontId="56" fillId="0" borderId="0" xfId="0" applyFont="1"/>
    <xf numFmtId="0" fontId="56" fillId="0" borderId="27" xfId="0" applyFont="1" applyBorder="1"/>
    <xf numFmtId="0" fontId="57" fillId="0" borderId="0" xfId="0" applyFont="1"/>
    <xf numFmtId="0" fontId="56" fillId="0" borderId="28" xfId="0" applyFont="1" applyBorder="1"/>
    <xf numFmtId="0" fontId="52" fillId="0" borderId="1" xfId="0" applyFont="1" applyBorder="1" applyAlignment="1">
      <alignment horizontal="center"/>
    </xf>
    <xf numFmtId="0" fontId="23" fillId="0" borderId="9" xfId="0" applyFont="1" applyBorder="1" applyAlignment="1">
      <alignment horizontal="center" vertical="center" wrapText="1"/>
    </xf>
    <xf numFmtId="0" fontId="24" fillId="3" borderId="36" xfId="0" applyFont="1" applyFill="1" applyBorder="1" applyAlignment="1">
      <alignment vertical="center"/>
    </xf>
    <xf numFmtId="0" fontId="24" fillId="0" borderId="36" xfId="0" applyFont="1" applyBorder="1" applyAlignment="1">
      <alignment vertical="center"/>
    </xf>
    <xf numFmtId="0" fontId="24" fillId="3" borderId="42" xfId="0" applyFont="1" applyFill="1" applyBorder="1" applyAlignment="1">
      <alignment vertical="center"/>
    </xf>
    <xf numFmtId="0" fontId="21" fillId="2" borderId="36" xfId="0" applyFont="1" applyFill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4" fillId="0" borderId="9" xfId="0" applyFont="1" applyBorder="1"/>
    <xf numFmtId="0" fontId="23" fillId="2" borderId="36" xfId="0" applyFont="1" applyFill="1" applyBorder="1" applyAlignment="1">
      <alignment horizontal="center" vertical="center" wrapText="1"/>
    </xf>
    <xf numFmtId="15" fontId="21" fillId="0" borderId="36" xfId="0" applyNumberFormat="1" applyFont="1" applyBorder="1" applyAlignment="1">
      <alignment horizontal="center" vertical="center" wrapText="1"/>
    </xf>
    <xf numFmtId="0" fontId="26" fillId="0" borderId="36" xfId="0" applyFont="1" applyBorder="1"/>
    <xf numFmtId="0" fontId="23" fillId="0" borderId="36" xfId="0" applyFont="1" applyBorder="1" applyAlignment="1">
      <alignment horizontal="center" vertical="center" wrapText="1"/>
    </xf>
    <xf numFmtId="0" fontId="23" fillId="2" borderId="36" xfId="0" applyFont="1" applyFill="1" applyBorder="1" applyAlignment="1">
      <alignment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2" borderId="36" xfId="0" applyFont="1" applyFill="1" applyBorder="1" applyAlignment="1">
      <alignment horizontal="center" vertical="center" wrapText="1"/>
    </xf>
    <xf numFmtId="0" fontId="23" fillId="2" borderId="36" xfId="0" applyFont="1" applyFill="1" applyBorder="1" applyAlignment="1">
      <alignment vertical="center" wrapText="1"/>
    </xf>
    <xf numFmtId="0" fontId="26" fillId="0" borderId="36" xfId="0" applyFont="1" applyBorder="1"/>
    <xf numFmtId="15" fontId="21" fillId="0" borderId="36" xfId="0" applyNumberFormat="1" applyFont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6" fillId="0" borderId="4" xfId="0" applyFont="1" applyBorder="1"/>
    <xf numFmtId="15" fontId="21" fillId="0" borderId="3" xfId="0" applyNumberFormat="1" applyFont="1" applyBorder="1" applyAlignment="1">
      <alignment horizontal="center" vertical="center" wrapText="1"/>
    </xf>
    <xf numFmtId="15" fontId="21" fillId="0" borderId="41" xfId="0" applyNumberFormat="1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6" fillId="0" borderId="5" xfId="0" applyFont="1" applyBorder="1"/>
    <xf numFmtId="0" fontId="23" fillId="0" borderId="2" xfId="0" applyFont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0" borderId="11" xfId="0" applyFont="1" applyBorder="1"/>
    <xf numFmtId="0" fontId="19" fillId="0" borderId="12" xfId="0" applyFont="1" applyBorder="1"/>
    <xf numFmtId="0" fontId="18" fillId="0" borderId="13" xfId="0" applyFont="1" applyBorder="1" applyAlignment="1">
      <alignment horizontal="center" vertical="center" wrapText="1"/>
    </xf>
    <xf numFmtId="0" fontId="19" fillId="0" borderId="14" xfId="0" applyFont="1" applyBorder="1"/>
    <xf numFmtId="0" fontId="19" fillId="0" borderId="15" xfId="0" applyFont="1" applyBorder="1"/>
    <xf numFmtId="0" fontId="3" fillId="0" borderId="10" xfId="0" applyFont="1" applyBorder="1" applyAlignment="1">
      <alignment horizontal="center" vertical="center" wrapText="1"/>
    </xf>
    <xf numFmtId="0" fontId="5" fillId="0" borderId="11" xfId="0" applyFont="1" applyBorder="1"/>
    <xf numFmtId="0" fontId="5" fillId="0" borderId="12" xfId="0" applyFont="1" applyBorder="1"/>
    <xf numFmtId="0" fontId="3" fillId="0" borderId="13" xfId="0" applyFont="1" applyBorder="1" applyAlignment="1">
      <alignment horizontal="center" vertical="center" wrapText="1"/>
    </xf>
    <xf numFmtId="0" fontId="5" fillId="0" borderId="14" xfId="0" applyFont="1" applyBorder="1"/>
    <xf numFmtId="0" fontId="5" fillId="0" borderId="15" xfId="0" applyFont="1" applyBorder="1"/>
    <xf numFmtId="0" fontId="4" fillId="0" borderId="2" xfId="0" applyFont="1" applyBorder="1" applyAlignment="1">
      <alignment horizontal="center" vertical="center"/>
    </xf>
    <xf numFmtId="0" fontId="5" fillId="0" borderId="5" xfId="0" applyFont="1" applyBorder="1"/>
    <xf numFmtId="0" fontId="2" fillId="2" borderId="2" xfId="0" applyFont="1" applyFill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9" fillId="0" borderId="5" xfId="0" applyFont="1" applyBorder="1"/>
    <xf numFmtId="0" fontId="28" fillId="2" borderId="2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16" fillId="0" borderId="0" xfId="0" applyFont="1" applyAlignment="1">
      <alignment horizontal="center"/>
    </xf>
    <xf numFmtId="0" fontId="0" fillId="0" borderId="0" xfId="0"/>
    <xf numFmtId="0" fontId="11" fillId="0" borderId="17" xfId="0" applyFont="1" applyBorder="1" applyAlignment="1">
      <alignment horizontal="center"/>
    </xf>
    <xf numFmtId="0" fontId="5" fillId="0" borderId="18" xfId="0" applyFont="1" applyBorder="1"/>
    <xf numFmtId="0" fontId="5" fillId="0" borderId="16" xfId="0" applyFont="1" applyBorder="1"/>
    <xf numFmtId="0" fontId="11" fillId="0" borderId="19" xfId="0" applyFont="1" applyBorder="1" applyAlignment="1">
      <alignment horizontal="center"/>
    </xf>
    <xf numFmtId="0" fontId="5" fillId="0" borderId="20" xfId="0" applyFont="1" applyBorder="1"/>
    <xf numFmtId="0" fontId="11" fillId="0" borderId="19" xfId="0" applyFont="1" applyBorder="1"/>
    <xf numFmtId="0" fontId="11" fillId="0" borderId="0" xfId="0" applyFont="1"/>
    <xf numFmtId="9" fontId="13" fillId="0" borderId="0" xfId="0" applyNumberFormat="1" applyFont="1" applyAlignment="1">
      <alignment horizontal="center"/>
    </xf>
    <xf numFmtId="9" fontId="0" fillId="0" borderId="0" xfId="0" applyNumberFormat="1"/>
    <xf numFmtId="0" fontId="11" fillId="0" borderId="0" xfId="0" applyFont="1" applyAlignment="1">
      <alignment horizontal="center"/>
    </xf>
    <xf numFmtId="0" fontId="41" fillId="0" borderId="35" xfId="1" applyFont="1" applyBorder="1" applyAlignment="1">
      <alignment horizontal="center" vertical="center"/>
    </xf>
    <xf numFmtId="0" fontId="41" fillId="0" borderId="38" xfId="1" applyFont="1" applyBorder="1" applyAlignment="1">
      <alignment horizontal="center" vertical="center"/>
    </xf>
    <xf numFmtId="0" fontId="31" fillId="0" borderId="9" xfId="1" applyFont="1" applyAlignment="1">
      <alignment horizontal="center" vertical="center"/>
    </xf>
    <xf numFmtId="0" fontId="34" fillId="0" borderId="40" xfId="2" applyFont="1" applyBorder="1" applyAlignment="1">
      <alignment horizontal="center" vertical="center"/>
    </xf>
    <xf numFmtId="0" fontId="35" fillId="0" borderId="9" xfId="2" applyFont="1" applyAlignment="1">
      <alignment horizontal="center"/>
    </xf>
    <xf numFmtId="0" fontId="34" fillId="0" borderId="36" xfId="2" applyFont="1" applyBorder="1" applyAlignment="1">
      <alignment horizontal="center" vertical="center"/>
    </xf>
    <xf numFmtId="0" fontId="34" fillId="0" borderId="36" xfId="2" applyFont="1" applyBorder="1"/>
    <xf numFmtId="0" fontId="34" fillId="4" borderId="36" xfId="2" applyFont="1" applyFill="1" applyBorder="1" applyAlignment="1">
      <alignment horizontal="center" vertical="center"/>
    </xf>
    <xf numFmtId="0" fontId="34" fillId="4" borderId="36" xfId="2" applyFont="1" applyFill="1" applyBorder="1"/>
    <xf numFmtId="0" fontId="34" fillId="4" borderId="36" xfId="2" applyFont="1" applyFill="1" applyBorder="1" applyAlignment="1">
      <alignment vertical="center"/>
    </xf>
    <xf numFmtId="0" fontId="34" fillId="4" borderId="39" xfId="2" applyFont="1" applyFill="1" applyBorder="1" applyAlignment="1">
      <alignment horizontal="center" vertical="center"/>
    </xf>
    <xf numFmtId="0" fontId="34" fillId="4" borderId="39" xfId="2" applyFont="1" applyFill="1" applyBorder="1" applyAlignment="1">
      <alignment vertical="center"/>
    </xf>
    <xf numFmtId="0" fontId="56" fillId="0" borderId="0" xfId="0" applyFont="1" applyAlignment="1">
      <alignment horizontal="center"/>
    </xf>
    <xf numFmtId="0" fontId="55" fillId="0" borderId="0" xfId="0" applyFont="1"/>
    <xf numFmtId="0" fontId="54" fillId="0" borderId="24" xfId="0" applyFont="1" applyBorder="1" applyAlignment="1">
      <alignment horizontal="center"/>
    </xf>
    <xf numFmtId="0" fontId="53" fillId="0" borderId="25" xfId="0" applyFont="1" applyBorder="1"/>
    <xf numFmtId="0" fontId="53" fillId="0" borderId="26" xfId="0" applyFont="1" applyBorder="1"/>
    <xf numFmtId="0" fontId="54" fillId="0" borderId="27" xfId="0" applyFont="1" applyBorder="1" applyAlignment="1">
      <alignment horizontal="center"/>
    </xf>
    <xf numFmtId="0" fontId="53" fillId="0" borderId="28" xfId="0" applyFont="1" applyBorder="1"/>
    <xf numFmtId="0" fontId="54" fillId="0" borderId="0" xfId="0" applyFont="1"/>
    <xf numFmtId="10" fontId="54" fillId="0" borderId="0" xfId="0" applyNumberFormat="1" applyFont="1" applyAlignment="1">
      <alignment horizontal="center"/>
    </xf>
    <xf numFmtId="0" fontId="46" fillId="0" borderId="0" xfId="0" applyFont="1" applyAlignment="1">
      <alignment horizontal="center"/>
    </xf>
    <xf numFmtId="0" fontId="48" fillId="0" borderId="0" xfId="0" applyFont="1"/>
    <xf numFmtId="0" fontId="47" fillId="0" borderId="28" xfId="0" applyFont="1" applyBorder="1"/>
    <xf numFmtId="0" fontId="54" fillId="0" borderId="27" xfId="0" applyFont="1" applyBorder="1" applyAlignment="1">
      <alignment horizontal="center" vertical="center"/>
    </xf>
    <xf numFmtId="0" fontId="52" fillId="0" borderId="6" xfId="0" applyFont="1" applyBorder="1" applyAlignment="1">
      <alignment horizontal="center"/>
    </xf>
    <xf numFmtId="0" fontId="53" fillId="0" borderId="7" xfId="0" applyFont="1" applyBorder="1"/>
    <xf numFmtId="0" fontId="53" fillId="0" borderId="8" xfId="0" applyFont="1" applyBorder="1"/>
    <xf numFmtId="0" fontId="53" fillId="0" borderId="30" xfId="0" applyFont="1" applyBorder="1"/>
  </cellXfs>
  <cellStyles count="7">
    <cellStyle name="Normal" xfId="0" builtinId="0"/>
    <cellStyle name="Normal 2" xfId="2" xr:uid="{09FC02AF-5AD2-44AF-8309-6DB9C1D9CEC8}"/>
    <cellStyle name="Normal 3" xfId="3" xr:uid="{03C75BA3-3E8E-40DD-BC38-BE007D27274F}"/>
    <cellStyle name="Normal 4" xfId="1" xr:uid="{A27B1ABF-982B-425C-8EF1-4FF6F3A1969E}"/>
    <cellStyle name="Normal 5" xfId="4" xr:uid="{D6F4C133-211D-4C2A-BD16-93A5B2915261}"/>
    <cellStyle name="Normal 6" xfId="5" xr:uid="{979B34E0-1528-4049-AB2B-F42DA98DA797}"/>
    <cellStyle name="Normal 7" xfId="6" xr:uid="{E15E9EAE-BB0D-4B0F-83E0-E6DC8380CFEA}"/>
  </cellStyles>
  <dxfs count="5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552450</xdr:colOff>
      <xdr:row>2</xdr:row>
      <xdr:rowOff>76200</xdr:rowOff>
    </xdr:to>
    <xdr:sp macro="" textlink="">
      <xdr:nvSpPr>
        <xdr:cNvPr id="2" name="AutoShape 1" descr="C:\Users\vivek\Desktop\SIRT LOGO.jpg">
          <a:extLst>
            <a:ext uri="{FF2B5EF4-FFF2-40B4-BE49-F238E27FC236}">
              <a16:creationId xmlns:a16="http://schemas.microsoft.com/office/drawing/2014/main" id="{5447A776-7246-4428-A98D-6932B78F9343}"/>
            </a:ext>
          </a:extLst>
        </xdr:cNvPr>
        <xdr:cNvSpPr>
          <a:spLocks noChangeAspect="1" noChangeArrowheads="1"/>
        </xdr:cNvSpPr>
      </xdr:nvSpPr>
      <xdr:spPr bwMode="auto">
        <a:xfrm>
          <a:off x="10144125" y="714375"/>
          <a:ext cx="55245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104776</xdr:colOff>
      <xdr:row>0</xdr:row>
      <xdr:rowOff>76201</xdr:rowOff>
    </xdr:from>
    <xdr:to>
      <xdr:col>1</xdr:col>
      <xdr:colOff>38100</xdr:colOff>
      <xdr:row>0</xdr:row>
      <xdr:rowOff>677333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31685E-6881-40EF-BCC4-D61A087FB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6" y="76201"/>
          <a:ext cx="609599" cy="6011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A5949-D46E-4632-AD40-1AC155E2E322}">
  <sheetPr>
    <pageSetUpPr fitToPage="1"/>
  </sheetPr>
  <dimension ref="A1:AC825"/>
  <sheetViews>
    <sheetView tabSelected="1" view="pageBreakPreview" topLeftCell="A13" zoomScale="60" zoomScaleNormal="85" workbookViewId="0">
      <selection activeCell="D7" sqref="D7:D31"/>
    </sheetView>
  </sheetViews>
  <sheetFormatPr defaultColWidth="12.5703125" defaultRowHeight="15" customHeight="1" x14ac:dyDescent="0.25"/>
  <cols>
    <col min="1" max="1" width="7.7109375" style="99" customWidth="1"/>
    <col min="2" max="2" width="27.28515625" style="96" customWidth="1"/>
    <col min="3" max="4" width="41.140625" style="96" customWidth="1"/>
    <col min="5" max="5" width="15.85546875" style="96" customWidth="1"/>
    <col min="6" max="9" width="16.28515625" style="96" customWidth="1"/>
    <col min="10" max="10" width="16.28515625" style="96" hidden="1" customWidth="1"/>
    <col min="11" max="11" width="13.5703125" style="96" hidden="1" customWidth="1"/>
    <col min="12" max="12" width="16.140625" style="96" hidden="1" customWidth="1"/>
    <col min="13" max="13" width="11.140625" style="96" hidden="1" customWidth="1"/>
    <col min="14" max="29" width="7.5703125" style="96" customWidth="1"/>
    <col min="30" max="16384" width="12.5703125" style="96"/>
  </cols>
  <sheetData>
    <row r="1" spans="1:11" ht="30" customHeight="1" thickBot="1" x14ac:dyDescent="0.3">
      <c r="A1" s="171" t="s">
        <v>0</v>
      </c>
      <c r="B1" s="172"/>
      <c r="C1" s="172"/>
      <c r="D1" s="172"/>
      <c r="E1" s="172"/>
      <c r="F1" s="172"/>
      <c r="G1" s="172"/>
      <c r="H1" s="172"/>
      <c r="I1" s="172"/>
      <c r="J1" s="172"/>
      <c r="K1" s="173"/>
    </row>
    <row r="2" spans="1:11" ht="30" customHeight="1" thickBot="1" x14ac:dyDescent="0.3">
      <c r="A2" s="171" t="s">
        <v>1</v>
      </c>
      <c r="B2" s="172"/>
      <c r="C2" s="172"/>
      <c r="D2" s="172"/>
      <c r="E2" s="172"/>
      <c r="F2" s="172"/>
      <c r="G2" s="172"/>
      <c r="H2" s="172"/>
      <c r="I2" s="172"/>
      <c r="J2" s="172"/>
      <c r="K2" s="173"/>
    </row>
    <row r="3" spans="1:11" ht="30" customHeight="1" thickBot="1" x14ac:dyDescent="0.3">
      <c r="A3" s="171" t="s">
        <v>66</v>
      </c>
      <c r="B3" s="172"/>
      <c r="C3" s="172"/>
      <c r="D3" s="172"/>
      <c r="E3" s="172"/>
      <c r="F3" s="172"/>
      <c r="G3" s="172"/>
      <c r="H3" s="172"/>
      <c r="I3" s="172"/>
      <c r="J3" s="172"/>
      <c r="K3" s="173"/>
    </row>
    <row r="4" spans="1:11" ht="30" customHeight="1" x14ac:dyDescent="0.25">
      <c r="A4" s="174" t="s">
        <v>626</v>
      </c>
      <c r="B4" s="175"/>
      <c r="C4" s="175"/>
      <c r="D4" s="175"/>
      <c r="E4" s="175"/>
      <c r="F4" s="175"/>
      <c r="G4" s="175"/>
      <c r="H4" s="175"/>
      <c r="I4" s="175"/>
      <c r="J4" s="175"/>
      <c r="K4" s="176"/>
    </row>
    <row r="5" spans="1:11" ht="24.95" customHeight="1" x14ac:dyDescent="0.25">
      <c r="A5" s="177" t="s">
        <v>2</v>
      </c>
      <c r="B5" s="178" t="s">
        <v>3</v>
      </c>
      <c r="C5" s="178" t="s">
        <v>4</v>
      </c>
      <c r="D5" s="170"/>
      <c r="E5" s="177" t="s">
        <v>5</v>
      </c>
      <c r="F5" s="167">
        <v>46118</v>
      </c>
      <c r="G5" s="167">
        <v>46118</v>
      </c>
      <c r="H5" s="167">
        <v>46119</v>
      </c>
      <c r="I5" s="167">
        <v>46119</v>
      </c>
      <c r="J5" s="180"/>
      <c r="K5" s="163">
        <v>46120</v>
      </c>
    </row>
    <row r="6" spans="1:11" ht="63.75" customHeight="1" x14ac:dyDescent="0.25">
      <c r="A6" s="177"/>
      <c r="B6" s="179"/>
      <c r="C6" s="179"/>
      <c r="D6" s="168"/>
      <c r="E6" s="179"/>
      <c r="F6" s="166" t="s">
        <v>61</v>
      </c>
      <c r="G6" s="169" t="s">
        <v>62</v>
      </c>
      <c r="H6" s="169" t="s">
        <v>63</v>
      </c>
      <c r="I6" s="169" t="s">
        <v>64</v>
      </c>
      <c r="J6" s="180"/>
      <c r="K6" s="164" t="s">
        <v>71</v>
      </c>
    </row>
    <row r="7" spans="1:11" ht="24.95" customHeight="1" x14ac:dyDescent="0.25">
      <c r="A7" s="162">
        <v>1</v>
      </c>
      <c r="B7" s="159" t="s">
        <v>627</v>
      </c>
      <c r="C7" s="159" t="s">
        <v>628</v>
      </c>
      <c r="D7" s="159">
        <v>1</v>
      </c>
      <c r="E7" s="168"/>
      <c r="F7" s="166"/>
      <c r="G7" s="169"/>
      <c r="H7" s="169"/>
      <c r="I7" s="169"/>
      <c r="J7" s="167"/>
      <c r="K7" s="158"/>
    </row>
    <row r="8" spans="1:11" ht="24.95" customHeight="1" x14ac:dyDescent="0.25">
      <c r="A8" s="162">
        <v>2</v>
      </c>
      <c r="B8" s="159" t="s">
        <v>629</v>
      </c>
      <c r="C8" s="159" t="s">
        <v>630</v>
      </c>
      <c r="D8" s="159">
        <v>2</v>
      </c>
      <c r="E8" s="168"/>
      <c r="F8" s="166"/>
      <c r="G8" s="169"/>
      <c r="H8" s="169"/>
      <c r="I8" s="169"/>
      <c r="J8" s="167"/>
      <c r="K8" s="158"/>
    </row>
    <row r="9" spans="1:11" ht="24.95" customHeight="1" x14ac:dyDescent="0.25">
      <c r="A9" s="162">
        <v>3</v>
      </c>
      <c r="B9" s="159" t="s">
        <v>335</v>
      </c>
      <c r="C9" s="159" t="s">
        <v>336</v>
      </c>
      <c r="D9" s="159">
        <v>3</v>
      </c>
      <c r="E9" s="104">
        <v>45.679012345679013</v>
      </c>
      <c r="F9" s="105"/>
      <c r="G9" s="105"/>
      <c r="H9" s="105"/>
      <c r="I9" s="105"/>
      <c r="J9" s="167"/>
      <c r="K9" s="165"/>
    </row>
    <row r="10" spans="1:11" ht="24.95" customHeight="1" x14ac:dyDescent="0.25">
      <c r="A10" s="162">
        <v>4</v>
      </c>
      <c r="B10" s="159" t="s">
        <v>333</v>
      </c>
      <c r="C10" s="159" t="s">
        <v>334</v>
      </c>
      <c r="D10" s="159">
        <v>4</v>
      </c>
      <c r="E10" s="104">
        <v>51.23456790123457</v>
      </c>
      <c r="F10" s="105"/>
      <c r="G10" s="105"/>
      <c r="H10" s="105"/>
      <c r="I10" s="105"/>
      <c r="J10" s="167"/>
      <c r="K10" s="165"/>
    </row>
    <row r="11" spans="1:11" ht="24.95" customHeight="1" x14ac:dyDescent="0.25">
      <c r="A11" s="162">
        <v>5</v>
      </c>
      <c r="B11" s="159" t="s">
        <v>345</v>
      </c>
      <c r="C11" s="159" t="s">
        <v>346</v>
      </c>
      <c r="D11" s="159">
        <v>5</v>
      </c>
      <c r="E11" s="104">
        <v>40.123456790123456</v>
      </c>
      <c r="F11" s="105"/>
      <c r="G11" s="105"/>
      <c r="H11" s="105"/>
      <c r="I11" s="105"/>
      <c r="J11" s="167"/>
      <c r="K11" s="165"/>
    </row>
    <row r="12" spans="1:11" ht="24.95" customHeight="1" x14ac:dyDescent="0.25">
      <c r="A12" s="162">
        <v>6</v>
      </c>
      <c r="B12" s="159" t="s">
        <v>347</v>
      </c>
      <c r="C12" s="159" t="s">
        <v>348</v>
      </c>
      <c r="D12" s="159">
        <v>6</v>
      </c>
      <c r="E12" s="104">
        <v>40.123456790123456</v>
      </c>
      <c r="F12" s="105"/>
      <c r="G12" s="105"/>
      <c r="H12" s="105"/>
      <c r="I12" s="105"/>
      <c r="J12" s="167"/>
      <c r="K12" s="165"/>
    </row>
    <row r="13" spans="1:11" ht="24.95" customHeight="1" x14ac:dyDescent="0.25">
      <c r="A13" s="162">
        <v>7</v>
      </c>
      <c r="B13" s="159" t="s">
        <v>361</v>
      </c>
      <c r="C13" s="159" t="s">
        <v>362</v>
      </c>
      <c r="D13" s="159">
        <v>7</v>
      </c>
      <c r="E13" s="104">
        <v>21.604938271604937</v>
      </c>
      <c r="F13" s="105"/>
      <c r="G13" s="105"/>
      <c r="H13" s="105"/>
      <c r="I13" s="105"/>
      <c r="J13" s="167"/>
      <c r="K13" s="165"/>
    </row>
    <row r="14" spans="1:11" ht="24.95" customHeight="1" x14ac:dyDescent="0.25">
      <c r="A14" s="162">
        <v>8</v>
      </c>
      <c r="B14" s="161" t="s">
        <v>331</v>
      </c>
      <c r="C14" s="159" t="s">
        <v>332</v>
      </c>
      <c r="D14" s="159">
        <v>8</v>
      </c>
      <c r="E14" s="104">
        <v>54.938271604938272</v>
      </c>
      <c r="F14" s="105"/>
      <c r="G14" s="105"/>
      <c r="H14" s="105"/>
      <c r="I14" s="105"/>
      <c r="J14" s="167"/>
    </row>
    <row r="15" spans="1:11" ht="24.95" customHeight="1" x14ac:dyDescent="0.25">
      <c r="A15" s="162">
        <v>9</v>
      </c>
      <c r="B15" s="161" t="s">
        <v>373</v>
      </c>
      <c r="C15" s="160" t="s">
        <v>374</v>
      </c>
      <c r="D15" s="159">
        <v>9</v>
      </c>
      <c r="E15" s="104">
        <v>1.89873417721519</v>
      </c>
      <c r="F15" s="105"/>
      <c r="G15" s="105"/>
      <c r="H15" s="105"/>
      <c r="I15" s="105"/>
      <c r="J15" s="167"/>
    </row>
    <row r="16" spans="1:11" ht="24.95" customHeight="1" x14ac:dyDescent="0.25">
      <c r="A16" s="162">
        <v>10</v>
      </c>
      <c r="B16" s="161" t="s">
        <v>363</v>
      </c>
      <c r="C16" s="160" t="s">
        <v>364</v>
      </c>
      <c r="D16" s="159">
        <v>10</v>
      </c>
      <c r="E16" s="104">
        <v>13.924050632911392</v>
      </c>
      <c r="F16" s="105"/>
      <c r="G16" s="105"/>
      <c r="H16" s="105"/>
      <c r="I16" s="105"/>
      <c r="J16" s="167"/>
    </row>
    <row r="17" spans="1:10" ht="24.95" customHeight="1" x14ac:dyDescent="0.25">
      <c r="A17" s="162">
        <v>11</v>
      </c>
      <c r="B17" s="161" t="s">
        <v>369</v>
      </c>
      <c r="C17" s="159" t="s">
        <v>370</v>
      </c>
      <c r="D17" s="159">
        <v>11</v>
      </c>
      <c r="E17" s="104">
        <v>8.6419753086419746</v>
      </c>
      <c r="F17" s="105"/>
      <c r="G17" s="105"/>
      <c r="H17" s="105"/>
      <c r="I17" s="105"/>
      <c r="J17" s="167"/>
    </row>
    <row r="18" spans="1:10" ht="24.95" customHeight="1" x14ac:dyDescent="0.25">
      <c r="A18" s="162">
        <v>12</v>
      </c>
      <c r="B18" s="161" t="s">
        <v>349</v>
      </c>
      <c r="C18" s="159" t="s">
        <v>350</v>
      </c>
      <c r="D18" s="159">
        <v>12</v>
      </c>
      <c r="E18" s="104">
        <v>39.87341772151899</v>
      </c>
      <c r="F18" s="105"/>
      <c r="G18" s="105"/>
      <c r="H18" s="105"/>
      <c r="I18" s="105"/>
      <c r="J18" s="167"/>
    </row>
    <row r="19" spans="1:10" ht="24.95" customHeight="1" x14ac:dyDescent="0.25">
      <c r="A19" s="162">
        <v>13</v>
      </c>
      <c r="B19" s="161" t="s">
        <v>355</v>
      </c>
      <c r="C19" s="159" t="s">
        <v>356</v>
      </c>
      <c r="D19" s="159">
        <v>13</v>
      </c>
      <c r="E19" s="104">
        <v>30.4</v>
      </c>
      <c r="F19" s="105"/>
      <c r="G19" s="105"/>
      <c r="H19" s="105"/>
      <c r="I19" s="105"/>
      <c r="J19" s="167"/>
    </row>
    <row r="20" spans="1:10" ht="24.95" customHeight="1" x14ac:dyDescent="0.25">
      <c r="A20" s="162">
        <v>14</v>
      </c>
      <c r="B20" s="161" t="s">
        <v>367</v>
      </c>
      <c r="C20" s="159" t="s">
        <v>368</v>
      </c>
      <c r="D20" s="159">
        <v>14</v>
      </c>
      <c r="E20" s="104">
        <v>9.4936708860759502</v>
      </c>
      <c r="F20" s="105"/>
      <c r="G20" s="105"/>
      <c r="H20" s="105"/>
      <c r="I20" s="105"/>
      <c r="J20" s="167"/>
    </row>
    <row r="21" spans="1:10" ht="24.95" customHeight="1" x14ac:dyDescent="0.25">
      <c r="A21" s="162">
        <v>15</v>
      </c>
      <c r="B21" s="161" t="s">
        <v>353</v>
      </c>
      <c r="C21" s="159" t="s">
        <v>354</v>
      </c>
      <c r="D21" s="159">
        <v>15</v>
      </c>
      <c r="E21" s="104">
        <v>31.481481481481481</v>
      </c>
      <c r="F21" s="105"/>
      <c r="G21" s="105"/>
      <c r="H21" s="105"/>
      <c r="I21" s="105"/>
      <c r="J21" s="167"/>
    </row>
    <row r="22" spans="1:10" ht="24.95" customHeight="1" x14ac:dyDescent="0.25">
      <c r="A22" s="162">
        <v>16</v>
      </c>
      <c r="B22" s="161" t="s">
        <v>351</v>
      </c>
      <c r="C22" s="159" t="s">
        <v>352</v>
      </c>
      <c r="D22" s="159">
        <v>16</v>
      </c>
      <c r="E22" s="104">
        <v>35.443037974683541</v>
      </c>
      <c r="F22" s="105"/>
      <c r="G22" s="105"/>
      <c r="H22" s="105"/>
      <c r="I22" s="105"/>
      <c r="J22" s="167"/>
    </row>
    <row r="23" spans="1:10" ht="24.95" customHeight="1" x14ac:dyDescent="0.25">
      <c r="A23" s="162">
        <v>17</v>
      </c>
      <c r="B23" s="161" t="s">
        <v>359</v>
      </c>
      <c r="C23" s="159" t="s">
        <v>360</v>
      </c>
      <c r="D23" s="159">
        <v>17</v>
      </c>
      <c r="E23" s="104">
        <v>22.012578616352201</v>
      </c>
      <c r="F23" s="105"/>
      <c r="G23" s="105"/>
      <c r="H23" s="105"/>
      <c r="I23" s="105"/>
      <c r="J23" s="167"/>
    </row>
    <row r="24" spans="1:10" ht="24.95" customHeight="1" x14ac:dyDescent="0.25">
      <c r="A24" s="162">
        <v>18</v>
      </c>
      <c r="B24" s="161" t="s">
        <v>365</v>
      </c>
      <c r="C24" s="159" t="s">
        <v>366</v>
      </c>
      <c r="D24" s="159">
        <v>18</v>
      </c>
      <c r="E24" s="104">
        <v>13.580246913580247</v>
      </c>
      <c r="F24" s="105"/>
      <c r="G24" s="105"/>
      <c r="H24" s="105"/>
      <c r="I24" s="105"/>
      <c r="J24" s="167"/>
    </row>
    <row r="25" spans="1:10" ht="24.95" customHeight="1" x14ac:dyDescent="0.25">
      <c r="A25" s="162">
        <v>19</v>
      </c>
      <c r="B25" s="161" t="s">
        <v>339</v>
      </c>
      <c r="C25" s="159" t="s">
        <v>340</v>
      </c>
      <c r="D25" s="159">
        <v>19</v>
      </c>
      <c r="E25" s="104">
        <v>43.827160493827158</v>
      </c>
      <c r="F25" s="105"/>
      <c r="G25" s="105"/>
      <c r="H25" s="105"/>
      <c r="I25" s="105"/>
      <c r="J25" s="167"/>
    </row>
    <row r="26" spans="1:10" ht="24.95" customHeight="1" x14ac:dyDescent="0.25">
      <c r="A26" s="162">
        <v>20</v>
      </c>
      <c r="B26" s="161" t="s">
        <v>371</v>
      </c>
      <c r="C26" s="159" t="s">
        <v>372</v>
      </c>
      <c r="D26" s="159">
        <v>20</v>
      </c>
      <c r="E26" s="104">
        <v>6.557377049180328</v>
      </c>
      <c r="F26" s="105"/>
      <c r="G26" s="105"/>
      <c r="H26" s="105"/>
      <c r="I26" s="105"/>
      <c r="J26" s="167"/>
    </row>
    <row r="27" spans="1:10" ht="24.95" customHeight="1" x14ac:dyDescent="0.25">
      <c r="A27" s="162">
        <v>21</v>
      </c>
      <c r="B27" s="161" t="s">
        <v>329</v>
      </c>
      <c r="C27" s="159" t="s">
        <v>330</v>
      </c>
      <c r="D27" s="159">
        <v>21</v>
      </c>
      <c r="E27" s="104">
        <v>57.407407407407405</v>
      </c>
      <c r="F27" s="105"/>
      <c r="G27" s="105"/>
      <c r="H27" s="105"/>
      <c r="I27" s="105"/>
      <c r="J27" s="167"/>
    </row>
    <row r="28" spans="1:10" ht="24.95" customHeight="1" x14ac:dyDescent="0.25">
      <c r="A28" s="162">
        <v>22</v>
      </c>
      <c r="B28" s="161" t="s">
        <v>337</v>
      </c>
      <c r="C28" s="159" t="s">
        <v>338</v>
      </c>
      <c r="D28" s="159">
        <v>22</v>
      </c>
      <c r="E28" s="104">
        <v>45.679012345679013</v>
      </c>
      <c r="F28" s="105"/>
      <c r="G28" s="105"/>
      <c r="H28" s="105"/>
      <c r="I28" s="105"/>
      <c r="J28" s="167"/>
    </row>
    <row r="29" spans="1:10" ht="24.95" customHeight="1" x14ac:dyDescent="0.25">
      <c r="A29" s="162">
        <v>23</v>
      </c>
      <c r="B29" s="161" t="s">
        <v>357</v>
      </c>
      <c r="C29" s="159" t="s">
        <v>358</v>
      </c>
      <c r="D29" s="159">
        <v>23</v>
      </c>
      <c r="E29" s="104">
        <v>28.39506172839506</v>
      </c>
      <c r="F29" s="105"/>
      <c r="G29" s="105"/>
      <c r="H29" s="105"/>
      <c r="I29" s="105"/>
      <c r="J29" s="167"/>
    </row>
    <row r="30" spans="1:10" ht="24.95" customHeight="1" x14ac:dyDescent="0.25">
      <c r="A30" s="162">
        <v>24</v>
      </c>
      <c r="B30" s="161" t="s">
        <v>341</v>
      </c>
      <c r="C30" s="159" t="s">
        <v>342</v>
      </c>
      <c r="D30" s="159">
        <v>24</v>
      </c>
      <c r="E30" s="104">
        <v>42.592592592592595</v>
      </c>
      <c r="F30" s="105"/>
      <c r="G30" s="105"/>
      <c r="H30" s="105"/>
      <c r="I30" s="105"/>
      <c r="J30" s="167"/>
    </row>
    <row r="31" spans="1:10" ht="24.95" customHeight="1" x14ac:dyDescent="0.25">
      <c r="A31" s="162">
        <v>25</v>
      </c>
      <c r="B31" s="161" t="s">
        <v>343</v>
      </c>
      <c r="C31" s="159" t="s">
        <v>344</v>
      </c>
      <c r="D31" s="159">
        <v>25</v>
      </c>
      <c r="E31" s="104">
        <v>40.506329113924053</v>
      </c>
      <c r="F31" s="105"/>
      <c r="G31" s="105"/>
      <c r="H31" s="105"/>
      <c r="I31" s="105"/>
      <c r="J31" s="167"/>
    </row>
    <row r="32" spans="1:10" ht="15.75" customHeight="1" x14ac:dyDescent="0.25">
      <c r="B32" s="56"/>
      <c r="C32" s="56"/>
      <c r="D32" s="56"/>
      <c r="E32" s="98"/>
    </row>
    <row r="33" spans="2:5" ht="15.75" customHeight="1" x14ac:dyDescent="0.25">
      <c r="B33" s="56"/>
      <c r="C33" s="56"/>
      <c r="D33" s="56"/>
      <c r="E33" s="98"/>
    </row>
    <row r="34" spans="2:5" ht="15.75" customHeight="1" x14ac:dyDescent="0.25">
      <c r="B34" s="56"/>
      <c r="C34" s="56"/>
      <c r="D34" s="56"/>
      <c r="E34" s="98"/>
    </row>
    <row r="35" spans="2:5" ht="15.75" customHeight="1" x14ac:dyDescent="0.25">
      <c r="B35" s="56"/>
      <c r="C35" s="56"/>
      <c r="D35" s="56"/>
      <c r="E35" s="98"/>
    </row>
    <row r="36" spans="2:5" ht="15.75" customHeight="1" x14ac:dyDescent="0.25">
      <c r="B36" s="56"/>
      <c r="C36" s="56"/>
      <c r="D36" s="56"/>
      <c r="E36" s="98"/>
    </row>
    <row r="37" spans="2:5" ht="15.75" customHeight="1" x14ac:dyDescent="0.25">
      <c r="B37" s="56"/>
      <c r="C37" s="56"/>
      <c r="D37" s="56"/>
      <c r="E37" s="98"/>
    </row>
    <row r="38" spans="2:5" ht="15.75" customHeight="1" x14ac:dyDescent="0.25">
      <c r="B38" s="56"/>
      <c r="C38" s="56"/>
      <c r="D38" s="56"/>
      <c r="E38" s="98"/>
    </row>
    <row r="39" spans="2:5" ht="15.75" customHeight="1" x14ac:dyDescent="0.25">
      <c r="B39" s="56"/>
      <c r="C39" s="56"/>
      <c r="D39" s="56"/>
      <c r="E39" s="98"/>
    </row>
    <row r="40" spans="2:5" ht="15.75" customHeight="1" x14ac:dyDescent="0.25">
      <c r="B40" s="56"/>
      <c r="C40" s="56"/>
      <c r="D40" s="56"/>
      <c r="E40" s="98"/>
    </row>
    <row r="41" spans="2:5" ht="15.75" customHeight="1" x14ac:dyDescent="0.25">
      <c r="B41" s="56"/>
      <c r="C41" s="56"/>
      <c r="D41" s="56"/>
      <c r="E41" s="98"/>
    </row>
    <row r="42" spans="2:5" ht="15.75" customHeight="1" x14ac:dyDescent="0.25">
      <c r="B42" s="56"/>
      <c r="C42" s="56"/>
      <c r="D42" s="56"/>
      <c r="E42" s="98"/>
    </row>
    <row r="43" spans="2:5" ht="15.75" customHeight="1" x14ac:dyDescent="0.25">
      <c r="B43" s="56"/>
      <c r="C43" s="56"/>
      <c r="D43" s="56"/>
      <c r="E43" s="98"/>
    </row>
    <row r="44" spans="2:5" ht="15.75" customHeight="1" x14ac:dyDescent="0.25">
      <c r="B44" s="56"/>
      <c r="C44" s="56"/>
      <c r="D44" s="56"/>
      <c r="E44" s="98"/>
    </row>
    <row r="45" spans="2:5" ht="15.75" customHeight="1" x14ac:dyDescent="0.25">
      <c r="B45" s="56"/>
      <c r="C45" s="56"/>
      <c r="D45" s="56"/>
      <c r="E45" s="98"/>
    </row>
    <row r="46" spans="2:5" ht="15.75" customHeight="1" x14ac:dyDescent="0.25">
      <c r="B46" s="56"/>
      <c r="C46" s="56"/>
      <c r="D46" s="56"/>
      <c r="E46" s="98"/>
    </row>
    <row r="47" spans="2:5" ht="15.75" customHeight="1" x14ac:dyDescent="0.25">
      <c r="B47" s="56"/>
      <c r="C47" s="56"/>
      <c r="D47" s="56"/>
      <c r="E47" s="98"/>
    </row>
    <row r="48" spans="2:5" ht="15.75" customHeight="1" x14ac:dyDescent="0.25">
      <c r="B48" s="56"/>
      <c r="C48" s="56"/>
      <c r="D48" s="56"/>
      <c r="E48" s="98"/>
    </row>
    <row r="49" spans="2:5" ht="15.75" customHeight="1" x14ac:dyDescent="0.25">
      <c r="B49" s="56"/>
      <c r="C49" s="56"/>
      <c r="D49" s="56"/>
      <c r="E49" s="98"/>
    </row>
    <row r="50" spans="2:5" ht="15.75" customHeight="1" x14ac:dyDescent="0.25">
      <c r="B50" s="56"/>
      <c r="C50" s="56"/>
      <c r="D50" s="56"/>
      <c r="E50" s="98"/>
    </row>
    <row r="51" spans="2:5" ht="15.75" customHeight="1" x14ac:dyDescent="0.25">
      <c r="B51" s="56"/>
      <c r="C51" s="56"/>
      <c r="D51" s="56"/>
      <c r="E51" s="98"/>
    </row>
    <row r="52" spans="2:5" ht="15.75" customHeight="1" x14ac:dyDescent="0.25">
      <c r="B52" s="56"/>
      <c r="C52" s="56"/>
      <c r="D52" s="56"/>
      <c r="E52" s="98"/>
    </row>
    <row r="53" spans="2:5" ht="15.75" customHeight="1" x14ac:dyDescent="0.25">
      <c r="B53" s="56"/>
      <c r="C53" s="56"/>
      <c r="D53" s="56"/>
      <c r="E53" s="98"/>
    </row>
    <row r="54" spans="2:5" ht="15.75" customHeight="1" x14ac:dyDescent="0.25">
      <c r="B54" s="56"/>
      <c r="C54" s="56"/>
      <c r="D54" s="56"/>
      <c r="E54" s="98"/>
    </row>
    <row r="55" spans="2:5" ht="15.75" customHeight="1" x14ac:dyDescent="0.25">
      <c r="B55" s="56"/>
      <c r="C55" s="56"/>
      <c r="D55" s="56"/>
      <c r="E55" s="98"/>
    </row>
    <row r="56" spans="2:5" ht="15.75" customHeight="1" x14ac:dyDescent="0.25">
      <c r="B56" s="56"/>
      <c r="C56" s="56"/>
      <c r="D56" s="56"/>
      <c r="E56" s="98"/>
    </row>
    <row r="57" spans="2:5" ht="15.75" customHeight="1" x14ac:dyDescent="0.25">
      <c r="B57" s="56"/>
      <c r="C57" s="56"/>
      <c r="D57" s="56"/>
      <c r="E57" s="98"/>
    </row>
    <row r="58" spans="2:5" ht="15.75" customHeight="1" x14ac:dyDescent="0.25">
      <c r="B58" s="56"/>
      <c r="C58" s="56"/>
      <c r="D58" s="56"/>
      <c r="E58" s="98"/>
    </row>
    <row r="59" spans="2:5" ht="15.75" customHeight="1" x14ac:dyDescent="0.25">
      <c r="B59" s="56"/>
      <c r="C59" s="56"/>
      <c r="D59" s="56"/>
      <c r="E59" s="98"/>
    </row>
    <row r="60" spans="2:5" ht="15.75" customHeight="1" x14ac:dyDescent="0.25">
      <c r="B60" s="56"/>
      <c r="C60" s="56"/>
      <c r="D60" s="56"/>
      <c r="E60" s="98"/>
    </row>
    <row r="61" spans="2:5" ht="15.75" customHeight="1" x14ac:dyDescent="0.25">
      <c r="B61" s="56"/>
      <c r="C61" s="56"/>
      <c r="D61" s="56"/>
      <c r="E61" s="98"/>
    </row>
    <row r="62" spans="2:5" ht="15.75" customHeight="1" x14ac:dyDescent="0.25">
      <c r="B62" s="56"/>
      <c r="C62" s="56"/>
      <c r="D62" s="56"/>
      <c r="E62" s="98"/>
    </row>
    <row r="63" spans="2:5" ht="15.75" customHeight="1" x14ac:dyDescent="0.25">
      <c r="B63" s="56"/>
      <c r="C63" s="56"/>
      <c r="D63" s="56"/>
      <c r="E63" s="98"/>
    </row>
    <row r="64" spans="2:5" ht="15.75" customHeight="1" x14ac:dyDescent="0.25">
      <c r="B64" s="56"/>
      <c r="C64" s="56"/>
      <c r="D64" s="56"/>
      <c r="E64" s="98"/>
    </row>
    <row r="65" spans="2:5" ht="15.75" customHeight="1" x14ac:dyDescent="0.25">
      <c r="B65" s="56"/>
      <c r="C65" s="56"/>
      <c r="D65" s="56"/>
      <c r="E65" s="98"/>
    </row>
    <row r="66" spans="2:5" ht="15.75" customHeight="1" x14ac:dyDescent="0.25">
      <c r="B66" s="56"/>
      <c r="C66" s="56"/>
      <c r="D66" s="56"/>
      <c r="E66" s="98"/>
    </row>
    <row r="67" spans="2:5" ht="15.75" customHeight="1" x14ac:dyDescent="0.25">
      <c r="B67" s="56"/>
      <c r="C67" s="56"/>
      <c r="D67" s="56"/>
      <c r="E67" s="98"/>
    </row>
    <row r="68" spans="2:5" ht="15.75" customHeight="1" x14ac:dyDescent="0.25">
      <c r="B68" s="56"/>
      <c r="C68" s="56"/>
      <c r="D68" s="56"/>
      <c r="E68" s="98"/>
    </row>
    <row r="69" spans="2:5" ht="15.75" customHeight="1" x14ac:dyDescent="0.25">
      <c r="B69" s="56"/>
      <c r="C69" s="56"/>
      <c r="D69" s="56"/>
      <c r="E69" s="98"/>
    </row>
    <row r="70" spans="2:5" ht="15.75" customHeight="1" x14ac:dyDescent="0.25">
      <c r="B70" s="56"/>
      <c r="C70" s="56"/>
      <c r="D70" s="56"/>
      <c r="E70" s="98"/>
    </row>
    <row r="71" spans="2:5" ht="15.75" customHeight="1" x14ac:dyDescent="0.25">
      <c r="B71" s="56"/>
      <c r="C71" s="56"/>
      <c r="D71" s="56"/>
      <c r="E71" s="98"/>
    </row>
    <row r="72" spans="2:5" ht="15.75" customHeight="1" x14ac:dyDescent="0.25">
      <c r="B72" s="56"/>
      <c r="C72" s="56"/>
      <c r="D72" s="56"/>
      <c r="E72" s="98"/>
    </row>
    <row r="73" spans="2:5" ht="15.75" customHeight="1" x14ac:dyDescent="0.25">
      <c r="B73" s="56"/>
      <c r="C73" s="56"/>
      <c r="D73" s="56"/>
      <c r="E73" s="98"/>
    </row>
    <row r="74" spans="2:5" ht="15.75" customHeight="1" x14ac:dyDescent="0.25">
      <c r="B74" s="56"/>
      <c r="C74" s="56"/>
      <c r="D74" s="56"/>
      <c r="E74" s="98"/>
    </row>
    <row r="75" spans="2:5" ht="15.75" customHeight="1" x14ac:dyDescent="0.25">
      <c r="B75" s="56"/>
      <c r="C75" s="56"/>
      <c r="D75" s="56"/>
      <c r="E75" s="98"/>
    </row>
    <row r="76" spans="2:5" ht="15.75" customHeight="1" x14ac:dyDescent="0.25">
      <c r="B76" s="56"/>
      <c r="C76" s="56"/>
      <c r="D76" s="56"/>
      <c r="E76" s="98"/>
    </row>
    <row r="77" spans="2:5" ht="15.75" customHeight="1" x14ac:dyDescent="0.25">
      <c r="B77" s="56"/>
      <c r="C77" s="56"/>
      <c r="D77" s="56"/>
      <c r="E77" s="98"/>
    </row>
    <row r="78" spans="2:5" ht="15.75" customHeight="1" x14ac:dyDescent="0.25">
      <c r="B78" s="56"/>
      <c r="C78" s="56"/>
      <c r="D78" s="56"/>
      <c r="E78" s="98"/>
    </row>
    <row r="79" spans="2:5" ht="15.75" customHeight="1" x14ac:dyDescent="0.25">
      <c r="B79" s="56"/>
      <c r="C79" s="56"/>
      <c r="D79" s="56"/>
      <c r="E79" s="98"/>
    </row>
    <row r="80" spans="2:5" ht="15.75" customHeight="1" x14ac:dyDescent="0.25">
      <c r="B80" s="56"/>
      <c r="C80" s="56"/>
      <c r="D80" s="56"/>
      <c r="E80" s="98"/>
    </row>
    <row r="81" spans="2:29" ht="15.75" customHeight="1" x14ac:dyDescent="0.25">
      <c r="B81" s="56"/>
      <c r="C81" s="56"/>
      <c r="D81" s="56"/>
      <c r="E81" s="98"/>
    </row>
    <row r="82" spans="2:29" ht="15.75" customHeight="1" x14ac:dyDescent="0.25">
      <c r="B82" s="56"/>
      <c r="C82" s="56"/>
      <c r="D82" s="56"/>
      <c r="E82" s="98"/>
    </row>
    <row r="83" spans="2:29" ht="15.75" customHeight="1" x14ac:dyDescent="0.25">
      <c r="B83" s="56"/>
      <c r="C83" s="56"/>
      <c r="D83" s="56"/>
      <c r="E83" s="98"/>
    </row>
    <row r="84" spans="2:29" ht="15.75" customHeight="1" x14ac:dyDescent="0.25"/>
    <row r="85" spans="2:29" ht="15.75" customHeight="1" x14ac:dyDescent="0.25"/>
    <row r="86" spans="2:29" ht="15.75" customHeight="1" x14ac:dyDescent="0.25"/>
    <row r="87" spans="2:29" ht="15.75" customHeight="1" x14ac:dyDescent="0.25"/>
    <row r="88" spans="2:29" ht="15.75" customHeight="1" x14ac:dyDescent="0.25"/>
    <row r="89" spans="2:29" ht="15.75" customHeight="1" x14ac:dyDescent="0.25"/>
    <row r="90" spans="2:29" ht="15.75" customHeight="1" x14ac:dyDescent="0.25"/>
    <row r="91" spans="2:29" ht="15.75" customHeight="1" x14ac:dyDescent="0.25"/>
    <row r="92" spans="2:29" ht="15.75" customHeight="1" x14ac:dyDescent="0.25"/>
    <row r="93" spans="2:29" ht="15.75" customHeight="1" x14ac:dyDescent="0.25"/>
    <row r="94" spans="2:29" s="99" customFormat="1" ht="15.75" customHeight="1" x14ac:dyDescent="0.2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</row>
    <row r="95" spans="2:29" s="99" customFormat="1" ht="15.75" customHeight="1" x14ac:dyDescent="0.2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</row>
    <row r="96" spans="2:29" s="99" customFormat="1" ht="15.75" customHeight="1" x14ac:dyDescent="0.2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</row>
    <row r="97" spans="2:29" s="99" customFormat="1" ht="15.75" customHeight="1" x14ac:dyDescent="0.2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</row>
    <row r="98" spans="2:29" s="99" customFormat="1" ht="15.75" customHeight="1" x14ac:dyDescent="0.2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</row>
    <row r="99" spans="2:29" s="99" customFormat="1" ht="15.75" customHeight="1" x14ac:dyDescent="0.2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</row>
    <row r="100" spans="2:29" s="99" customFormat="1" ht="15.75" customHeight="1" x14ac:dyDescent="0.2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</row>
    <row r="101" spans="2:29" s="99" customFormat="1" ht="15.75" customHeight="1" x14ac:dyDescent="0.2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</row>
    <row r="102" spans="2:29" s="99" customFormat="1" ht="15.75" customHeight="1" x14ac:dyDescent="0.2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</row>
    <row r="103" spans="2:29" s="99" customFormat="1" ht="15.75" customHeight="1" x14ac:dyDescent="0.2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</row>
    <row r="104" spans="2:29" s="99" customFormat="1" ht="15.75" customHeight="1" x14ac:dyDescent="0.2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</row>
    <row r="105" spans="2:29" s="99" customFormat="1" ht="15.75" customHeight="1" x14ac:dyDescent="0.2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</row>
    <row r="106" spans="2:29" s="99" customFormat="1" ht="15.75" customHeight="1" x14ac:dyDescent="0.2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</row>
    <row r="107" spans="2:29" s="99" customFormat="1" ht="15.75" customHeight="1" x14ac:dyDescent="0.2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</row>
    <row r="108" spans="2:29" s="99" customFormat="1" ht="15.75" customHeight="1" x14ac:dyDescent="0.2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</row>
    <row r="109" spans="2:29" s="99" customFormat="1" ht="15.75" customHeight="1" x14ac:dyDescent="0.2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</row>
    <row r="110" spans="2:29" s="99" customFormat="1" ht="15.75" customHeight="1" x14ac:dyDescent="0.25"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</row>
    <row r="111" spans="2:29" s="99" customFormat="1" ht="15.75" customHeight="1" x14ac:dyDescent="0.25"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</row>
    <row r="112" spans="2:29" s="99" customFormat="1" ht="15.75" customHeight="1" x14ac:dyDescent="0.25"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</row>
    <row r="113" spans="2:29" s="99" customFormat="1" ht="15.75" customHeight="1" x14ac:dyDescent="0.25"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</row>
    <row r="114" spans="2:29" s="99" customFormat="1" ht="15.75" customHeight="1" x14ac:dyDescent="0.25"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</row>
    <row r="115" spans="2:29" s="99" customFormat="1" ht="15.75" customHeight="1" x14ac:dyDescent="0.25"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</row>
    <row r="116" spans="2:29" s="99" customFormat="1" ht="15.75" customHeight="1" x14ac:dyDescent="0.25"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</row>
    <row r="117" spans="2:29" s="99" customFormat="1" ht="15.75" customHeight="1" x14ac:dyDescent="0.25"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</row>
    <row r="118" spans="2:29" s="99" customFormat="1" ht="15.75" customHeight="1" x14ac:dyDescent="0.25"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</row>
    <row r="119" spans="2:29" s="99" customFormat="1" ht="15.75" customHeight="1" x14ac:dyDescent="0.25"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</row>
    <row r="120" spans="2:29" s="99" customFormat="1" ht="15.75" customHeight="1" x14ac:dyDescent="0.25"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</row>
    <row r="121" spans="2:29" s="99" customFormat="1" ht="15.75" customHeight="1" x14ac:dyDescent="0.25"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</row>
    <row r="122" spans="2:29" s="99" customFormat="1" ht="15.75" customHeight="1" x14ac:dyDescent="0.25"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</row>
    <row r="123" spans="2:29" s="99" customFormat="1" ht="15.75" customHeight="1" x14ac:dyDescent="0.25"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</row>
    <row r="124" spans="2:29" s="99" customFormat="1" ht="15.75" customHeight="1" x14ac:dyDescent="0.25"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</row>
    <row r="125" spans="2:29" s="99" customFormat="1" ht="15.75" customHeight="1" x14ac:dyDescent="0.25"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</row>
    <row r="126" spans="2:29" s="99" customFormat="1" ht="15.75" customHeight="1" x14ac:dyDescent="0.25"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</row>
    <row r="127" spans="2:29" s="99" customFormat="1" ht="15.75" customHeight="1" x14ac:dyDescent="0.25"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</row>
    <row r="128" spans="2:29" s="99" customFormat="1" ht="15.75" customHeight="1" x14ac:dyDescent="0.25"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  <c r="AC128" s="96"/>
    </row>
    <row r="129" spans="2:29" s="99" customFormat="1" ht="15.75" customHeight="1" x14ac:dyDescent="0.25"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</row>
    <row r="130" spans="2:29" s="99" customFormat="1" ht="15.75" customHeight="1" x14ac:dyDescent="0.25"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</row>
    <row r="131" spans="2:29" s="99" customFormat="1" ht="15.75" customHeight="1" x14ac:dyDescent="0.25"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</row>
    <row r="132" spans="2:29" s="99" customFormat="1" ht="15.75" customHeight="1" x14ac:dyDescent="0.25"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</row>
    <row r="133" spans="2:29" s="99" customFormat="1" ht="15.75" customHeight="1" x14ac:dyDescent="0.25"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</row>
    <row r="134" spans="2:29" s="99" customFormat="1" ht="15.75" customHeight="1" x14ac:dyDescent="0.25"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</row>
    <row r="135" spans="2:29" s="99" customFormat="1" ht="15.75" customHeight="1" x14ac:dyDescent="0.25"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/>
    </row>
    <row r="136" spans="2:29" s="99" customFormat="1" ht="15.75" customHeight="1" x14ac:dyDescent="0.25"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</row>
    <row r="137" spans="2:29" s="99" customFormat="1" ht="15.75" customHeight="1" x14ac:dyDescent="0.25"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</row>
    <row r="138" spans="2:29" s="99" customFormat="1" ht="15.75" customHeight="1" x14ac:dyDescent="0.25"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  <c r="AC138" s="96"/>
    </row>
    <row r="139" spans="2:29" s="99" customFormat="1" ht="15.75" customHeight="1" x14ac:dyDescent="0.25"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</row>
    <row r="140" spans="2:29" s="99" customFormat="1" ht="15.75" customHeight="1" x14ac:dyDescent="0.25"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  <c r="AC140" s="96"/>
    </row>
    <row r="141" spans="2:29" s="99" customFormat="1" ht="15.75" customHeight="1" x14ac:dyDescent="0.25"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  <c r="AC141" s="96"/>
    </row>
    <row r="142" spans="2:29" s="99" customFormat="1" ht="15.75" customHeight="1" x14ac:dyDescent="0.25"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  <c r="AC142" s="96"/>
    </row>
    <row r="143" spans="2:29" s="99" customFormat="1" ht="15.75" customHeight="1" x14ac:dyDescent="0.25"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96"/>
    </row>
    <row r="144" spans="2:29" s="99" customFormat="1" ht="15.75" customHeight="1" x14ac:dyDescent="0.25"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  <c r="AC144" s="96"/>
    </row>
    <row r="145" spans="2:29" s="99" customFormat="1" ht="15.75" customHeight="1" x14ac:dyDescent="0.25"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  <c r="AC145" s="96"/>
    </row>
    <row r="146" spans="2:29" s="99" customFormat="1" ht="15.75" customHeight="1" x14ac:dyDescent="0.25"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  <c r="AC146" s="96"/>
    </row>
    <row r="147" spans="2:29" s="99" customFormat="1" ht="15.75" customHeight="1" x14ac:dyDescent="0.25"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  <c r="AC147" s="96"/>
    </row>
    <row r="148" spans="2:29" s="99" customFormat="1" ht="15.75" customHeight="1" x14ac:dyDescent="0.25"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  <c r="AC148" s="96"/>
    </row>
    <row r="149" spans="2:29" s="99" customFormat="1" ht="15.75" customHeight="1" x14ac:dyDescent="0.25"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</row>
    <row r="150" spans="2:29" s="99" customFormat="1" ht="15.75" customHeight="1" x14ac:dyDescent="0.25"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  <c r="AC150" s="96"/>
    </row>
    <row r="151" spans="2:29" s="99" customFormat="1" ht="15.75" customHeight="1" x14ac:dyDescent="0.25"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</row>
    <row r="152" spans="2:29" s="99" customFormat="1" ht="15.75" customHeight="1" x14ac:dyDescent="0.25"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  <c r="AC152" s="96"/>
    </row>
    <row r="153" spans="2:29" s="99" customFormat="1" ht="15.75" customHeight="1" x14ac:dyDescent="0.25"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96"/>
    </row>
    <row r="154" spans="2:29" s="99" customFormat="1" ht="15.75" customHeight="1" x14ac:dyDescent="0.25"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  <c r="AC154" s="96"/>
    </row>
    <row r="155" spans="2:29" s="99" customFormat="1" ht="15.75" customHeight="1" x14ac:dyDescent="0.25"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  <c r="AC155" s="96"/>
    </row>
    <row r="156" spans="2:29" s="99" customFormat="1" ht="15.75" customHeight="1" x14ac:dyDescent="0.25"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  <c r="AC156" s="96"/>
    </row>
    <row r="157" spans="2:29" s="99" customFormat="1" ht="15.75" customHeight="1" x14ac:dyDescent="0.25"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  <c r="AC157" s="96"/>
    </row>
    <row r="158" spans="2:29" s="99" customFormat="1" ht="15.75" customHeight="1" x14ac:dyDescent="0.25"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  <c r="AC158" s="96"/>
    </row>
    <row r="159" spans="2:29" s="99" customFormat="1" ht="15.75" customHeight="1" x14ac:dyDescent="0.25"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  <c r="AC159" s="96"/>
    </row>
    <row r="160" spans="2:29" s="99" customFormat="1" ht="15.75" customHeight="1" x14ac:dyDescent="0.25"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  <c r="AC160" s="96"/>
    </row>
    <row r="161" spans="2:29" s="99" customFormat="1" ht="15.75" customHeight="1" x14ac:dyDescent="0.25"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  <c r="AC161" s="96"/>
    </row>
    <row r="162" spans="2:29" s="99" customFormat="1" ht="15.75" customHeight="1" x14ac:dyDescent="0.25"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  <c r="AC162" s="96"/>
    </row>
    <row r="163" spans="2:29" s="99" customFormat="1" ht="15.75" customHeight="1" x14ac:dyDescent="0.25"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  <c r="AC163" s="96"/>
    </row>
    <row r="164" spans="2:29" s="99" customFormat="1" ht="15.75" customHeight="1" x14ac:dyDescent="0.25"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  <c r="AC164" s="96"/>
    </row>
    <row r="165" spans="2:29" s="99" customFormat="1" ht="15.75" customHeight="1" x14ac:dyDescent="0.25"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  <c r="AC165" s="96"/>
    </row>
    <row r="166" spans="2:29" s="99" customFormat="1" ht="15.75" customHeight="1" x14ac:dyDescent="0.25"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  <c r="AC166" s="96"/>
    </row>
    <row r="167" spans="2:29" s="99" customFormat="1" ht="15.75" customHeight="1" x14ac:dyDescent="0.25"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  <c r="AC167" s="96"/>
    </row>
    <row r="168" spans="2:29" s="99" customFormat="1" ht="15.75" customHeight="1" x14ac:dyDescent="0.25"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  <c r="AC168" s="96"/>
    </row>
    <row r="169" spans="2:29" s="99" customFormat="1" ht="15.75" customHeight="1" x14ac:dyDescent="0.25"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  <c r="AC169" s="96"/>
    </row>
    <row r="170" spans="2:29" s="99" customFormat="1" ht="15.75" customHeight="1" x14ac:dyDescent="0.25"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  <c r="AC170" s="96"/>
    </row>
    <row r="171" spans="2:29" s="99" customFormat="1" ht="15.75" customHeight="1" x14ac:dyDescent="0.25"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  <c r="AC171" s="96"/>
    </row>
    <row r="172" spans="2:29" s="99" customFormat="1" ht="15.75" customHeight="1" x14ac:dyDescent="0.25"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  <c r="AC172" s="96"/>
    </row>
    <row r="173" spans="2:29" s="99" customFormat="1" ht="15.75" customHeight="1" x14ac:dyDescent="0.25"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  <c r="AC173" s="96"/>
    </row>
    <row r="174" spans="2:29" s="99" customFormat="1" ht="15.75" customHeight="1" x14ac:dyDescent="0.25"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  <c r="AC174" s="96"/>
    </row>
    <row r="175" spans="2:29" s="99" customFormat="1" ht="15.75" customHeight="1" x14ac:dyDescent="0.25"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  <c r="AC175" s="96"/>
    </row>
    <row r="176" spans="2:29" s="99" customFormat="1" ht="15.75" customHeight="1" x14ac:dyDescent="0.25"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  <c r="AC176" s="96"/>
    </row>
    <row r="177" spans="2:29" s="99" customFormat="1" ht="15.75" customHeight="1" x14ac:dyDescent="0.25"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  <c r="AC177" s="96"/>
    </row>
    <row r="178" spans="2:29" s="99" customFormat="1" ht="15.75" customHeight="1" x14ac:dyDescent="0.25"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  <c r="AC178" s="96"/>
    </row>
    <row r="179" spans="2:29" s="99" customFormat="1" ht="15.75" customHeight="1" x14ac:dyDescent="0.25"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</row>
    <row r="180" spans="2:29" s="99" customFormat="1" ht="15.75" customHeight="1" x14ac:dyDescent="0.25"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</row>
    <row r="181" spans="2:29" s="99" customFormat="1" ht="15.75" customHeight="1" x14ac:dyDescent="0.25"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  <c r="AC181" s="96"/>
    </row>
    <row r="182" spans="2:29" s="99" customFormat="1" ht="15.75" customHeight="1" x14ac:dyDescent="0.25"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  <c r="AC182" s="96"/>
    </row>
    <row r="183" spans="2:29" s="99" customFormat="1" ht="15.75" customHeight="1" x14ac:dyDescent="0.25"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  <c r="AC183" s="96"/>
    </row>
    <row r="184" spans="2:29" s="99" customFormat="1" ht="15.75" customHeight="1" x14ac:dyDescent="0.25"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  <c r="AC184" s="96"/>
    </row>
    <row r="185" spans="2:29" s="99" customFormat="1" ht="15.75" customHeight="1" x14ac:dyDescent="0.25"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  <c r="AC185" s="96"/>
    </row>
    <row r="186" spans="2:29" s="99" customFormat="1" ht="15.75" customHeight="1" x14ac:dyDescent="0.25"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  <c r="AC186" s="96"/>
    </row>
    <row r="187" spans="2:29" s="99" customFormat="1" ht="15.75" customHeight="1" x14ac:dyDescent="0.25"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  <c r="AC187" s="96"/>
    </row>
    <row r="188" spans="2:29" s="99" customFormat="1" ht="15.75" customHeight="1" x14ac:dyDescent="0.25"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  <c r="AC188" s="96"/>
    </row>
    <row r="189" spans="2:29" s="99" customFormat="1" ht="15.75" customHeight="1" x14ac:dyDescent="0.25"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  <c r="AC189" s="96"/>
    </row>
    <row r="190" spans="2:29" s="99" customFormat="1" ht="15.75" customHeight="1" x14ac:dyDescent="0.25"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  <c r="AC190" s="96"/>
    </row>
    <row r="191" spans="2:29" s="99" customFormat="1" ht="15.75" customHeight="1" x14ac:dyDescent="0.25"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  <c r="AC191" s="96"/>
    </row>
    <row r="192" spans="2:29" s="99" customFormat="1" ht="15.75" customHeight="1" x14ac:dyDescent="0.25"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  <c r="AC192" s="96"/>
    </row>
    <row r="193" spans="2:29" s="99" customFormat="1" ht="15.75" customHeight="1" x14ac:dyDescent="0.25"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  <c r="AC193" s="96"/>
    </row>
    <row r="194" spans="2:29" s="99" customFormat="1" ht="15.75" customHeight="1" x14ac:dyDescent="0.25"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  <c r="AC194" s="96"/>
    </row>
    <row r="195" spans="2:29" s="99" customFormat="1" ht="15.75" customHeight="1" x14ac:dyDescent="0.25"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  <c r="AC195" s="96"/>
    </row>
    <row r="196" spans="2:29" s="99" customFormat="1" ht="15.75" customHeight="1" x14ac:dyDescent="0.25"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  <c r="AC196" s="96"/>
    </row>
    <row r="197" spans="2:29" s="99" customFormat="1" ht="15.75" customHeight="1" x14ac:dyDescent="0.25"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  <c r="AC197" s="96"/>
    </row>
    <row r="198" spans="2:29" s="99" customFormat="1" ht="15.75" customHeight="1" x14ac:dyDescent="0.25"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  <c r="AC198" s="96"/>
    </row>
    <row r="199" spans="2:29" s="99" customFormat="1" ht="15.75" customHeight="1" x14ac:dyDescent="0.25"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  <c r="AC199" s="96"/>
    </row>
    <row r="200" spans="2:29" s="99" customFormat="1" ht="15.75" customHeight="1" x14ac:dyDescent="0.25"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  <c r="AC200" s="96"/>
    </row>
    <row r="201" spans="2:29" s="99" customFormat="1" ht="15.75" customHeight="1" x14ac:dyDescent="0.25"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</row>
    <row r="202" spans="2:29" s="99" customFormat="1" ht="15.75" customHeight="1" x14ac:dyDescent="0.25"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  <c r="AC202" s="96"/>
    </row>
    <row r="203" spans="2:29" s="99" customFormat="1" ht="15.75" customHeight="1" x14ac:dyDescent="0.25"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  <c r="AC203" s="96"/>
    </row>
    <row r="204" spans="2:29" s="99" customFormat="1" ht="15.75" customHeight="1" x14ac:dyDescent="0.25"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  <c r="AC204" s="96"/>
    </row>
    <row r="205" spans="2:29" s="99" customFormat="1" ht="15.75" customHeight="1" x14ac:dyDescent="0.25"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  <c r="AC205" s="96"/>
    </row>
    <row r="206" spans="2:29" s="99" customFormat="1" ht="15.75" customHeight="1" x14ac:dyDescent="0.25"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  <c r="AC206" s="96"/>
    </row>
    <row r="207" spans="2:29" s="99" customFormat="1" ht="15.75" customHeight="1" x14ac:dyDescent="0.25"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  <c r="AC207" s="96"/>
    </row>
    <row r="208" spans="2:29" s="99" customFormat="1" ht="15.75" customHeight="1" x14ac:dyDescent="0.25"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  <c r="AC208" s="96"/>
    </row>
    <row r="209" spans="2:29" s="99" customFormat="1" ht="15.75" customHeight="1" x14ac:dyDescent="0.25"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  <c r="AC209" s="96"/>
    </row>
    <row r="210" spans="2:29" s="99" customFormat="1" ht="15.75" customHeight="1" x14ac:dyDescent="0.25"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  <c r="AC210" s="96"/>
    </row>
    <row r="211" spans="2:29" s="99" customFormat="1" ht="15.75" customHeight="1" x14ac:dyDescent="0.25"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  <c r="AC211" s="96"/>
    </row>
    <row r="212" spans="2:29" s="99" customFormat="1" ht="15.75" customHeight="1" x14ac:dyDescent="0.25"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  <c r="AC212" s="96"/>
    </row>
    <row r="213" spans="2:29" s="99" customFormat="1" ht="15.75" customHeight="1" x14ac:dyDescent="0.25"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  <c r="AC213" s="96"/>
    </row>
    <row r="214" spans="2:29" s="99" customFormat="1" ht="15.75" customHeight="1" x14ac:dyDescent="0.25"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  <c r="AC214" s="96"/>
    </row>
    <row r="215" spans="2:29" s="99" customFormat="1" ht="15.75" customHeight="1" x14ac:dyDescent="0.25"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  <c r="AC215" s="96"/>
    </row>
    <row r="216" spans="2:29" s="99" customFormat="1" ht="15.75" customHeight="1" x14ac:dyDescent="0.25"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  <c r="AC216" s="96"/>
    </row>
    <row r="217" spans="2:29" s="99" customFormat="1" ht="15.75" customHeight="1" x14ac:dyDescent="0.25"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  <c r="AC217" s="96"/>
    </row>
    <row r="218" spans="2:29" s="99" customFormat="1" ht="15.75" customHeight="1" x14ac:dyDescent="0.25"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  <c r="AC218" s="96"/>
    </row>
    <row r="219" spans="2:29" s="99" customFormat="1" ht="15.75" customHeight="1" x14ac:dyDescent="0.25"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  <c r="AC219" s="96"/>
    </row>
    <row r="220" spans="2:29" s="99" customFormat="1" ht="15.75" customHeight="1" x14ac:dyDescent="0.25"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  <c r="AC220" s="96"/>
    </row>
    <row r="221" spans="2:29" s="99" customFormat="1" ht="15.75" customHeight="1" x14ac:dyDescent="0.25"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  <c r="AC221" s="96"/>
    </row>
    <row r="222" spans="2:29" s="99" customFormat="1" ht="15.75" customHeight="1" x14ac:dyDescent="0.25"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  <c r="AC222" s="96"/>
    </row>
    <row r="223" spans="2:29" s="99" customFormat="1" ht="15.75" customHeight="1" x14ac:dyDescent="0.25"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  <c r="AC223" s="96"/>
    </row>
    <row r="224" spans="2:29" s="99" customFormat="1" ht="15.75" customHeight="1" x14ac:dyDescent="0.25"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  <c r="AC224" s="96"/>
    </row>
    <row r="225" spans="2:29" s="99" customFormat="1" ht="15.75" customHeight="1" x14ac:dyDescent="0.25"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  <c r="AC225" s="96"/>
    </row>
    <row r="226" spans="2:29" s="99" customFormat="1" ht="15.75" customHeight="1" x14ac:dyDescent="0.25"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  <c r="AC226" s="96"/>
    </row>
    <row r="227" spans="2:29" s="99" customFormat="1" ht="15.75" customHeight="1" x14ac:dyDescent="0.25"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  <c r="AC227" s="96"/>
    </row>
    <row r="228" spans="2:29" s="99" customFormat="1" ht="15.75" customHeight="1" x14ac:dyDescent="0.25"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  <c r="AC228" s="96"/>
    </row>
    <row r="229" spans="2:29" s="99" customFormat="1" ht="15.75" customHeight="1" x14ac:dyDescent="0.25"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  <c r="AC229" s="96"/>
    </row>
    <row r="230" spans="2:29" s="99" customFormat="1" ht="15.75" customHeight="1" x14ac:dyDescent="0.25"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  <c r="AC230" s="96"/>
    </row>
    <row r="231" spans="2:29" s="99" customFormat="1" ht="15.75" customHeight="1" x14ac:dyDescent="0.25"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  <c r="AC231" s="96"/>
    </row>
    <row r="232" spans="2:29" s="99" customFormat="1" ht="15.75" customHeight="1" x14ac:dyDescent="0.25"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  <c r="AC232" s="96"/>
    </row>
    <row r="233" spans="2:29" s="99" customFormat="1" ht="15.75" customHeight="1" x14ac:dyDescent="0.25"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  <c r="AC233" s="96"/>
    </row>
    <row r="234" spans="2:29" s="99" customFormat="1" ht="15.75" customHeight="1" x14ac:dyDescent="0.25"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  <c r="AC234" s="96"/>
    </row>
    <row r="235" spans="2:29" s="99" customFormat="1" ht="15.75" customHeight="1" x14ac:dyDescent="0.25"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  <c r="AC235" s="96"/>
    </row>
    <row r="236" spans="2:29" s="99" customFormat="1" ht="15.75" customHeight="1" x14ac:dyDescent="0.25"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  <c r="AC236" s="96"/>
    </row>
    <row r="237" spans="2:29" s="99" customFormat="1" ht="15.75" customHeight="1" x14ac:dyDescent="0.25"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  <c r="AC237" s="96"/>
    </row>
    <row r="238" spans="2:29" s="99" customFormat="1" ht="15.75" customHeight="1" x14ac:dyDescent="0.25"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  <c r="AC238" s="96"/>
    </row>
    <row r="239" spans="2:29" s="99" customFormat="1" ht="15.75" customHeight="1" x14ac:dyDescent="0.25"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  <c r="AC239" s="96"/>
    </row>
    <row r="240" spans="2:29" s="99" customFormat="1" ht="15.75" customHeight="1" x14ac:dyDescent="0.25"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  <c r="AC240" s="96"/>
    </row>
    <row r="241" spans="2:29" s="99" customFormat="1" ht="15.75" customHeight="1" x14ac:dyDescent="0.25"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  <c r="AC241" s="96"/>
    </row>
    <row r="242" spans="2:29" s="99" customFormat="1" ht="15.75" customHeight="1" x14ac:dyDescent="0.25"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  <c r="AC242" s="96"/>
    </row>
    <row r="243" spans="2:29" s="99" customFormat="1" ht="15.75" customHeight="1" x14ac:dyDescent="0.25"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  <c r="AC243" s="96"/>
    </row>
    <row r="244" spans="2:29" s="99" customFormat="1" ht="15.75" customHeight="1" x14ac:dyDescent="0.25"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  <c r="AC244" s="96"/>
    </row>
    <row r="245" spans="2:29" s="99" customFormat="1" ht="15.75" customHeight="1" x14ac:dyDescent="0.25"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  <c r="AC245" s="96"/>
    </row>
    <row r="246" spans="2:29" s="99" customFormat="1" ht="15.75" customHeight="1" x14ac:dyDescent="0.25"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  <c r="AC246" s="96"/>
    </row>
    <row r="247" spans="2:29" s="99" customFormat="1" ht="15.75" customHeight="1" x14ac:dyDescent="0.25"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  <c r="AC247" s="96"/>
    </row>
    <row r="248" spans="2:29" s="99" customFormat="1" ht="15.75" customHeight="1" x14ac:dyDescent="0.25"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  <c r="AC248" s="96"/>
    </row>
    <row r="249" spans="2:29" s="99" customFormat="1" ht="15.75" customHeight="1" x14ac:dyDescent="0.25"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96"/>
      <c r="AC249" s="96"/>
    </row>
    <row r="250" spans="2:29" s="99" customFormat="1" ht="15.75" customHeight="1" x14ac:dyDescent="0.25"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  <c r="AC250" s="96"/>
    </row>
    <row r="251" spans="2:29" s="99" customFormat="1" ht="15.75" customHeight="1" x14ac:dyDescent="0.25"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  <c r="AC251" s="96"/>
    </row>
    <row r="252" spans="2:29" s="99" customFormat="1" ht="15.75" customHeight="1" x14ac:dyDescent="0.25"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  <c r="AC252" s="96"/>
    </row>
    <row r="253" spans="2:29" s="99" customFormat="1" ht="15.75" customHeight="1" x14ac:dyDescent="0.25"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  <c r="AC253" s="96"/>
    </row>
    <row r="254" spans="2:29" s="99" customFormat="1" ht="15.75" customHeight="1" x14ac:dyDescent="0.25"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6"/>
      <c r="AB254" s="96"/>
      <c r="AC254" s="96"/>
    </row>
    <row r="255" spans="2:29" s="99" customFormat="1" ht="15.75" customHeight="1" x14ac:dyDescent="0.25"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6"/>
      <c r="AB255" s="96"/>
      <c r="AC255" s="96"/>
    </row>
    <row r="256" spans="2:29" s="99" customFormat="1" ht="15.75" customHeight="1" x14ac:dyDescent="0.25"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  <c r="AA256" s="96"/>
      <c r="AB256" s="96"/>
      <c r="AC256" s="96"/>
    </row>
    <row r="257" spans="2:29" s="99" customFormat="1" ht="15.75" customHeight="1" x14ac:dyDescent="0.25"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  <c r="AA257" s="96"/>
      <c r="AB257" s="96"/>
      <c r="AC257" s="96"/>
    </row>
    <row r="258" spans="2:29" s="99" customFormat="1" ht="15.75" customHeight="1" x14ac:dyDescent="0.25"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6"/>
      <c r="AB258" s="96"/>
      <c r="AC258" s="96"/>
    </row>
    <row r="259" spans="2:29" s="99" customFormat="1" ht="15.75" customHeight="1" x14ac:dyDescent="0.25"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  <c r="AA259" s="96"/>
      <c r="AB259" s="96"/>
      <c r="AC259" s="96"/>
    </row>
    <row r="260" spans="2:29" s="99" customFormat="1" ht="15.75" customHeight="1" x14ac:dyDescent="0.25"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  <c r="AA260" s="96"/>
      <c r="AB260" s="96"/>
      <c r="AC260" s="96"/>
    </row>
    <row r="261" spans="2:29" s="99" customFormat="1" ht="15.75" customHeight="1" x14ac:dyDescent="0.25"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  <c r="AA261" s="96"/>
      <c r="AB261" s="96"/>
      <c r="AC261" s="96"/>
    </row>
    <row r="262" spans="2:29" s="99" customFormat="1" ht="15.75" customHeight="1" x14ac:dyDescent="0.25"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  <c r="AA262" s="96"/>
      <c r="AB262" s="96"/>
      <c r="AC262" s="96"/>
    </row>
    <row r="263" spans="2:29" s="99" customFormat="1" ht="15.75" customHeight="1" x14ac:dyDescent="0.25"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  <c r="AA263" s="96"/>
      <c r="AB263" s="96"/>
      <c r="AC263" s="96"/>
    </row>
    <row r="264" spans="2:29" s="99" customFormat="1" ht="15.75" customHeight="1" x14ac:dyDescent="0.25"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  <c r="AA264" s="96"/>
      <c r="AB264" s="96"/>
      <c r="AC264" s="96"/>
    </row>
    <row r="265" spans="2:29" s="99" customFormat="1" ht="15.75" customHeight="1" x14ac:dyDescent="0.25"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  <c r="AA265" s="96"/>
      <c r="AB265" s="96"/>
      <c r="AC265" s="96"/>
    </row>
    <row r="266" spans="2:29" s="99" customFormat="1" ht="15.75" customHeight="1" x14ac:dyDescent="0.25"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  <c r="AA266" s="96"/>
      <c r="AB266" s="96"/>
      <c r="AC266" s="96"/>
    </row>
    <row r="267" spans="2:29" s="99" customFormat="1" ht="15.75" customHeight="1" x14ac:dyDescent="0.25"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6"/>
      <c r="AB267" s="96"/>
      <c r="AC267" s="96"/>
    </row>
    <row r="268" spans="2:29" s="99" customFormat="1" ht="15.75" customHeight="1" x14ac:dyDescent="0.25"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  <c r="AA268" s="96"/>
      <c r="AB268" s="96"/>
      <c r="AC268" s="96"/>
    </row>
    <row r="269" spans="2:29" s="99" customFormat="1" ht="15.75" customHeight="1" x14ac:dyDescent="0.25"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  <c r="AA269" s="96"/>
      <c r="AB269" s="96"/>
      <c r="AC269" s="96"/>
    </row>
    <row r="270" spans="2:29" s="99" customFormat="1" ht="15.75" customHeight="1" x14ac:dyDescent="0.25"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6"/>
      <c r="AB270" s="96"/>
      <c r="AC270" s="96"/>
    </row>
    <row r="271" spans="2:29" s="99" customFormat="1" ht="15.75" customHeight="1" x14ac:dyDescent="0.25"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6"/>
      <c r="AC271" s="96"/>
    </row>
    <row r="272" spans="2:29" s="99" customFormat="1" ht="15.75" customHeight="1" x14ac:dyDescent="0.25"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96"/>
      <c r="AC272" s="96"/>
    </row>
    <row r="273" spans="2:29" s="99" customFormat="1" ht="15.75" customHeight="1" x14ac:dyDescent="0.25"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96"/>
      <c r="AC273" s="96"/>
    </row>
    <row r="274" spans="2:29" s="99" customFormat="1" ht="15.75" customHeight="1" x14ac:dyDescent="0.25"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  <c r="AB274" s="96"/>
      <c r="AC274" s="96"/>
    </row>
    <row r="275" spans="2:29" s="99" customFormat="1" ht="15.75" customHeight="1" x14ac:dyDescent="0.25"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96"/>
      <c r="AC275" s="96"/>
    </row>
    <row r="276" spans="2:29" s="99" customFormat="1" ht="15.75" customHeight="1" x14ac:dyDescent="0.25"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6"/>
      <c r="AB276" s="96"/>
      <c r="AC276" s="96"/>
    </row>
    <row r="277" spans="2:29" s="99" customFormat="1" ht="15.75" customHeight="1" x14ac:dyDescent="0.25"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6"/>
      <c r="AB277" s="96"/>
      <c r="AC277" s="96"/>
    </row>
    <row r="278" spans="2:29" s="99" customFormat="1" ht="15.75" customHeight="1" x14ac:dyDescent="0.25"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  <c r="AB278" s="96"/>
      <c r="AC278" s="96"/>
    </row>
    <row r="279" spans="2:29" s="99" customFormat="1" ht="15.75" customHeight="1" x14ac:dyDescent="0.25"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6"/>
      <c r="AC279" s="96"/>
    </row>
    <row r="280" spans="2:29" s="99" customFormat="1" ht="15.75" customHeight="1" x14ac:dyDescent="0.25"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6"/>
      <c r="AB280" s="96"/>
      <c r="AC280" s="96"/>
    </row>
    <row r="281" spans="2:29" s="99" customFormat="1" ht="15.75" customHeight="1" x14ac:dyDescent="0.25"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6"/>
      <c r="AB281" s="96"/>
      <c r="AC281" s="96"/>
    </row>
    <row r="282" spans="2:29" s="99" customFormat="1" ht="15.75" customHeight="1" x14ac:dyDescent="0.25"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6"/>
      <c r="AB282" s="96"/>
      <c r="AC282" s="96"/>
    </row>
    <row r="283" spans="2:29" s="99" customFormat="1" ht="15.75" customHeight="1" x14ac:dyDescent="0.25"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  <c r="AB283" s="96"/>
      <c r="AC283" s="96"/>
    </row>
    <row r="284" spans="2:29" s="99" customFormat="1" ht="15.75" customHeight="1" x14ac:dyDescent="0.25"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  <c r="AB284" s="96"/>
      <c r="AC284" s="96"/>
    </row>
    <row r="285" spans="2:29" s="99" customFormat="1" ht="15.75" customHeight="1" x14ac:dyDescent="0.25"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96"/>
      <c r="AC285" s="96"/>
    </row>
    <row r="286" spans="2:29" s="99" customFormat="1" ht="15.75" customHeight="1" x14ac:dyDescent="0.25"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  <c r="AB286" s="96"/>
      <c r="AC286" s="96"/>
    </row>
    <row r="287" spans="2:29" s="99" customFormat="1" ht="15.75" customHeight="1" x14ac:dyDescent="0.25"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  <c r="AB287" s="96"/>
      <c r="AC287" s="96"/>
    </row>
    <row r="288" spans="2:29" s="99" customFormat="1" ht="15.75" customHeight="1" x14ac:dyDescent="0.25"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  <c r="AA288" s="96"/>
      <c r="AB288" s="96"/>
      <c r="AC288" s="96"/>
    </row>
    <row r="289" spans="2:29" s="99" customFormat="1" ht="15.75" customHeight="1" x14ac:dyDescent="0.25"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  <c r="AA289" s="96"/>
      <c r="AB289" s="96"/>
      <c r="AC289" s="96"/>
    </row>
    <row r="290" spans="2:29" s="99" customFormat="1" ht="15.75" customHeight="1" x14ac:dyDescent="0.25"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  <c r="AA290" s="96"/>
      <c r="AB290" s="96"/>
      <c r="AC290" s="96"/>
    </row>
    <row r="291" spans="2:29" s="99" customFormat="1" ht="15.75" customHeight="1" x14ac:dyDescent="0.25"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  <c r="AA291" s="96"/>
      <c r="AB291" s="96"/>
      <c r="AC291" s="96"/>
    </row>
    <row r="292" spans="2:29" s="99" customFormat="1" ht="15.75" customHeight="1" x14ac:dyDescent="0.25"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  <c r="AA292" s="96"/>
      <c r="AB292" s="96"/>
      <c r="AC292" s="96"/>
    </row>
    <row r="293" spans="2:29" s="99" customFormat="1" ht="15.75" customHeight="1" x14ac:dyDescent="0.25"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  <c r="AA293" s="96"/>
      <c r="AB293" s="96"/>
      <c r="AC293" s="96"/>
    </row>
    <row r="294" spans="2:29" s="99" customFormat="1" ht="15.75" customHeight="1" x14ac:dyDescent="0.25"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  <c r="AA294" s="96"/>
      <c r="AB294" s="96"/>
      <c r="AC294" s="96"/>
    </row>
    <row r="295" spans="2:29" s="99" customFormat="1" ht="15.75" customHeight="1" x14ac:dyDescent="0.25"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  <c r="AA295" s="96"/>
      <c r="AB295" s="96"/>
      <c r="AC295" s="96"/>
    </row>
    <row r="296" spans="2:29" s="99" customFormat="1" ht="15.75" customHeight="1" x14ac:dyDescent="0.25"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  <c r="AA296" s="96"/>
      <c r="AB296" s="96"/>
      <c r="AC296" s="96"/>
    </row>
    <row r="297" spans="2:29" s="99" customFormat="1" ht="15.75" customHeight="1" x14ac:dyDescent="0.25"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  <c r="AA297" s="96"/>
      <c r="AB297" s="96"/>
      <c r="AC297" s="96"/>
    </row>
    <row r="298" spans="2:29" s="99" customFormat="1" ht="15.75" customHeight="1" x14ac:dyDescent="0.25"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  <c r="AA298" s="96"/>
      <c r="AB298" s="96"/>
      <c r="AC298" s="96"/>
    </row>
    <row r="299" spans="2:29" s="99" customFormat="1" ht="15.75" customHeight="1" x14ac:dyDescent="0.25"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  <c r="AA299" s="96"/>
      <c r="AB299" s="96"/>
      <c r="AC299" s="96"/>
    </row>
    <row r="300" spans="2:29" s="99" customFormat="1" ht="15.75" customHeight="1" x14ac:dyDescent="0.25"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  <c r="AA300" s="96"/>
      <c r="AB300" s="96"/>
      <c r="AC300" s="96"/>
    </row>
    <row r="301" spans="2:29" s="99" customFormat="1" ht="15.75" customHeight="1" x14ac:dyDescent="0.25"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  <c r="AA301" s="96"/>
      <c r="AB301" s="96"/>
      <c r="AC301" s="96"/>
    </row>
    <row r="302" spans="2:29" s="99" customFormat="1" ht="15.75" customHeight="1" x14ac:dyDescent="0.25"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  <c r="AA302" s="96"/>
      <c r="AB302" s="96"/>
      <c r="AC302" s="96"/>
    </row>
    <row r="303" spans="2:29" s="99" customFormat="1" ht="15.75" customHeight="1" x14ac:dyDescent="0.25"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  <c r="AA303" s="96"/>
      <c r="AB303" s="96"/>
      <c r="AC303" s="96"/>
    </row>
    <row r="304" spans="2:29" s="99" customFormat="1" ht="15.75" customHeight="1" x14ac:dyDescent="0.25"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  <c r="AA304" s="96"/>
      <c r="AB304" s="96"/>
      <c r="AC304" s="96"/>
    </row>
    <row r="305" spans="2:29" s="99" customFormat="1" ht="15.75" customHeight="1" x14ac:dyDescent="0.25"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  <c r="AA305" s="96"/>
      <c r="AB305" s="96"/>
      <c r="AC305" s="96"/>
    </row>
    <row r="306" spans="2:29" s="99" customFormat="1" ht="15.75" customHeight="1" x14ac:dyDescent="0.25"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  <c r="AA306" s="96"/>
      <c r="AB306" s="96"/>
      <c r="AC306" s="96"/>
    </row>
    <row r="307" spans="2:29" s="99" customFormat="1" ht="15.75" customHeight="1" x14ac:dyDescent="0.25"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  <c r="AA307" s="96"/>
      <c r="AB307" s="96"/>
      <c r="AC307" s="96"/>
    </row>
    <row r="308" spans="2:29" s="99" customFormat="1" ht="15.75" customHeight="1" x14ac:dyDescent="0.25"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  <c r="AA308" s="96"/>
      <c r="AB308" s="96"/>
      <c r="AC308" s="96"/>
    </row>
    <row r="309" spans="2:29" s="99" customFormat="1" ht="15.75" customHeight="1" x14ac:dyDescent="0.25"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  <c r="AA309" s="96"/>
      <c r="AB309" s="96"/>
      <c r="AC309" s="96"/>
    </row>
    <row r="310" spans="2:29" s="99" customFormat="1" ht="15.75" customHeight="1" x14ac:dyDescent="0.25"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  <c r="AA310" s="96"/>
      <c r="AB310" s="96"/>
      <c r="AC310" s="96"/>
    </row>
    <row r="311" spans="2:29" s="99" customFormat="1" ht="15.75" customHeight="1" x14ac:dyDescent="0.25"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  <c r="AA311" s="96"/>
      <c r="AB311" s="96"/>
      <c r="AC311" s="96"/>
    </row>
    <row r="312" spans="2:29" s="99" customFormat="1" ht="15.75" customHeight="1" x14ac:dyDescent="0.25"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  <c r="AA312" s="96"/>
      <c r="AB312" s="96"/>
      <c r="AC312" s="96"/>
    </row>
    <row r="313" spans="2:29" s="99" customFormat="1" ht="15.75" customHeight="1" x14ac:dyDescent="0.25"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  <c r="AA313" s="96"/>
      <c r="AB313" s="96"/>
      <c r="AC313" s="96"/>
    </row>
    <row r="314" spans="2:29" s="99" customFormat="1" ht="15.75" customHeight="1" x14ac:dyDescent="0.25"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  <c r="AA314" s="96"/>
      <c r="AB314" s="96"/>
      <c r="AC314" s="96"/>
    </row>
    <row r="315" spans="2:29" s="99" customFormat="1" ht="15.75" customHeight="1" x14ac:dyDescent="0.25"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  <c r="AA315" s="96"/>
      <c r="AB315" s="96"/>
      <c r="AC315" s="96"/>
    </row>
    <row r="316" spans="2:29" s="99" customFormat="1" ht="15.75" customHeight="1" x14ac:dyDescent="0.25"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  <c r="AA316" s="96"/>
      <c r="AB316" s="96"/>
      <c r="AC316" s="96"/>
    </row>
    <row r="317" spans="2:29" s="99" customFormat="1" ht="15.75" customHeight="1" x14ac:dyDescent="0.25"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  <c r="AA317" s="96"/>
      <c r="AB317" s="96"/>
      <c r="AC317" s="96"/>
    </row>
    <row r="318" spans="2:29" s="99" customFormat="1" ht="15.75" customHeight="1" x14ac:dyDescent="0.25"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  <c r="AA318" s="96"/>
      <c r="AB318" s="96"/>
      <c r="AC318" s="96"/>
    </row>
    <row r="319" spans="2:29" s="99" customFormat="1" ht="15.75" customHeight="1" x14ac:dyDescent="0.25"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  <c r="AA319" s="96"/>
      <c r="AB319" s="96"/>
      <c r="AC319" s="96"/>
    </row>
    <row r="320" spans="2:29" s="99" customFormat="1" ht="15.75" customHeight="1" x14ac:dyDescent="0.25"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  <c r="AA320" s="96"/>
      <c r="AB320" s="96"/>
      <c r="AC320" s="96"/>
    </row>
    <row r="321" spans="2:29" s="99" customFormat="1" ht="15.75" customHeight="1" x14ac:dyDescent="0.25"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  <c r="AA321" s="96"/>
      <c r="AB321" s="96"/>
      <c r="AC321" s="96"/>
    </row>
    <row r="322" spans="2:29" s="99" customFormat="1" ht="15.75" customHeight="1" x14ac:dyDescent="0.25"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  <c r="AA322" s="96"/>
      <c r="AB322" s="96"/>
      <c r="AC322" s="96"/>
    </row>
    <row r="323" spans="2:29" s="99" customFormat="1" ht="15.75" customHeight="1" x14ac:dyDescent="0.25"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  <c r="AA323" s="96"/>
      <c r="AB323" s="96"/>
      <c r="AC323" s="96"/>
    </row>
    <row r="324" spans="2:29" s="99" customFormat="1" ht="15.75" customHeight="1" x14ac:dyDescent="0.25"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  <c r="AA324" s="96"/>
      <c r="AB324" s="96"/>
      <c r="AC324" s="96"/>
    </row>
    <row r="325" spans="2:29" s="99" customFormat="1" ht="15.75" customHeight="1" x14ac:dyDescent="0.25"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  <c r="AA325" s="96"/>
      <c r="AB325" s="96"/>
      <c r="AC325" s="96"/>
    </row>
    <row r="326" spans="2:29" s="99" customFormat="1" ht="15.75" customHeight="1" x14ac:dyDescent="0.25"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  <c r="AA326" s="96"/>
      <c r="AB326" s="96"/>
      <c r="AC326" s="96"/>
    </row>
    <row r="327" spans="2:29" s="99" customFormat="1" ht="15.75" customHeight="1" x14ac:dyDescent="0.25"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  <c r="AA327" s="96"/>
      <c r="AB327" s="96"/>
      <c r="AC327" s="96"/>
    </row>
    <row r="328" spans="2:29" s="99" customFormat="1" ht="15.75" customHeight="1" x14ac:dyDescent="0.25"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  <c r="AA328" s="96"/>
      <c r="AB328" s="96"/>
      <c r="AC328" s="96"/>
    </row>
    <row r="329" spans="2:29" s="99" customFormat="1" ht="15.75" customHeight="1" x14ac:dyDescent="0.25"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  <c r="AA329" s="96"/>
      <c r="AB329" s="96"/>
      <c r="AC329" s="96"/>
    </row>
    <row r="330" spans="2:29" s="99" customFormat="1" ht="15.75" customHeight="1" x14ac:dyDescent="0.25"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  <c r="AA330" s="96"/>
      <c r="AB330" s="96"/>
      <c r="AC330" s="96"/>
    </row>
    <row r="331" spans="2:29" s="99" customFormat="1" ht="15.75" customHeight="1" x14ac:dyDescent="0.25"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  <c r="AA331" s="96"/>
      <c r="AB331" s="96"/>
      <c r="AC331" s="96"/>
    </row>
    <row r="332" spans="2:29" s="99" customFormat="1" ht="15.75" customHeight="1" x14ac:dyDescent="0.25"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  <c r="AA332" s="96"/>
      <c r="AB332" s="96"/>
      <c r="AC332" s="96"/>
    </row>
    <row r="333" spans="2:29" s="99" customFormat="1" ht="15.75" customHeight="1" x14ac:dyDescent="0.25"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  <c r="AA333" s="96"/>
      <c r="AB333" s="96"/>
      <c r="AC333" s="96"/>
    </row>
    <row r="334" spans="2:29" s="99" customFormat="1" ht="15.75" customHeight="1" x14ac:dyDescent="0.25"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  <c r="AA334" s="96"/>
      <c r="AB334" s="96"/>
      <c r="AC334" s="96"/>
    </row>
    <row r="335" spans="2:29" s="99" customFormat="1" ht="15.75" customHeight="1" x14ac:dyDescent="0.25"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  <c r="AA335" s="96"/>
      <c r="AB335" s="96"/>
      <c r="AC335" s="96"/>
    </row>
    <row r="336" spans="2:29" s="99" customFormat="1" ht="15.75" customHeight="1" x14ac:dyDescent="0.25"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  <c r="AA336" s="96"/>
      <c r="AB336" s="96"/>
      <c r="AC336" s="96"/>
    </row>
    <row r="337" spans="2:29" s="99" customFormat="1" ht="15.75" customHeight="1" x14ac:dyDescent="0.25"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  <c r="AA337" s="96"/>
      <c r="AB337" s="96"/>
      <c r="AC337" s="96"/>
    </row>
    <row r="338" spans="2:29" s="99" customFormat="1" ht="15.75" customHeight="1" x14ac:dyDescent="0.25"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  <c r="AA338" s="96"/>
      <c r="AB338" s="96"/>
      <c r="AC338" s="96"/>
    </row>
    <row r="339" spans="2:29" s="99" customFormat="1" ht="15.75" customHeight="1" x14ac:dyDescent="0.25"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  <c r="AA339" s="96"/>
      <c r="AB339" s="96"/>
      <c r="AC339" s="96"/>
    </row>
    <row r="340" spans="2:29" s="99" customFormat="1" ht="15.75" customHeight="1" x14ac:dyDescent="0.25"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  <c r="AA340" s="96"/>
      <c r="AB340" s="96"/>
      <c r="AC340" s="96"/>
    </row>
    <row r="341" spans="2:29" s="99" customFormat="1" ht="15.75" customHeight="1" x14ac:dyDescent="0.25"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  <c r="AA341" s="96"/>
      <c r="AB341" s="96"/>
      <c r="AC341" s="96"/>
    </row>
    <row r="342" spans="2:29" s="99" customFormat="1" ht="15.75" customHeight="1" x14ac:dyDescent="0.25"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  <c r="AA342" s="96"/>
      <c r="AB342" s="96"/>
      <c r="AC342" s="96"/>
    </row>
    <row r="343" spans="2:29" s="99" customFormat="1" ht="15.75" customHeight="1" x14ac:dyDescent="0.25"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  <c r="AA343" s="96"/>
      <c r="AB343" s="96"/>
      <c r="AC343" s="96"/>
    </row>
    <row r="344" spans="2:29" s="99" customFormat="1" ht="15.75" customHeight="1" x14ac:dyDescent="0.25"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  <c r="AA344" s="96"/>
      <c r="AB344" s="96"/>
      <c r="AC344" s="96"/>
    </row>
    <row r="345" spans="2:29" s="99" customFormat="1" ht="15.75" customHeight="1" x14ac:dyDescent="0.25"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  <c r="AA345" s="96"/>
      <c r="AB345" s="96"/>
      <c r="AC345" s="96"/>
    </row>
    <row r="346" spans="2:29" s="99" customFormat="1" ht="15.75" customHeight="1" x14ac:dyDescent="0.25"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  <c r="AA346" s="96"/>
      <c r="AB346" s="96"/>
      <c r="AC346" s="96"/>
    </row>
    <row r="347" spans="2:29" s="99" customFormat="1" ht="15.75" customHeight="1" x14ac:dyDescent="0.25"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  <c r="AA347" s="96"/>
      <c r="AB347" s="96"/>
      <c r="AC347" s="96"/>
    </row>
    <row r="348" spans="2:29" s="99" customFormat="1" ht="15.75" customHeight="1" x14ac:dyDescent="0.25"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  <c r="AA348" s="96"/>
      <c r="AB348" s="96"/>
      <c r="AC348" s="96"/>
    </row>
    <row r="349" spans="2:29" s="99" customFormat="1" ht="15.75" customHeight="1" x14ac:dyDescent="0.25"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  <c r="AA349" s="96"/>
      <c r="AB349" s="96"/>
      <c r="AC349" s="96"/>
    </row>
    <row r="350" spans="2:29" s="99" customFormat="1" ht="15.75" customHeight="1" x14ac:dyDescent="0.25"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  <c r="AA350" s="96"/>
      <c r="AB350" s="96"/>
      <c r="AC350" s="96"/>
    </row>
    <row r="351" spans="2:29" s="99" customFormat="1" ht="15.75" customHeight="1" x14ac:dyDescent="0.25"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  <c r="AA351" s="96"/>
      <c r="AB351" s="96"/>
      <c r="AC351" s="96"/>
    </row>
    <row r="352" spans="2:29" s="99" customFormat="1" ht="15.75" customHeight="1" x14ac:dyDescent="0.25"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  <c r="AA352" s="96"/>
      <c r="AB352" s="96"/>
      <c r="AC352" s="96"/>
    </row>
    <row r="353" spans="2:29" s="99" customFormat="1" ht="15.75" customHeight="1" x14ac:dyDescent="0.25"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  <c r="AA353" s="96"/>
      <c r="AB353" s="96"/>
      <c r="AC353" s="96"/>
    </row>
    <row r="354" spans="2:29" s="99" customFormat="1" ht="15.75" customHeight="1" x14ac:dyDescent="0.25"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  <c r="AA354" s="96"/>
      <c r="AB354" s="96"/>
      <c r="AC354" s="96"/>
    </row>
    <row r="355" spans="2:29" s="99" customFormat="1" ht="15.75" customHeight="1" x14ac:dyDescent="0.25"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  <c r="AA355" s="96"/>
      <c r="AB355" s="96"/>
      <c r="AC355" s="96"/>
    </row>
    <row r="356" spans="2:29" s="99" customFormat="1" ht="15.75" customHeight="1" x14ac:dyDescent="0.25"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  <c r="AA356" s="96"/>
      <c r="AB356" s="96"/>
      <c r="AC356" s="96"/>
    </row>
    <row r="357" spans="2:29" s="99" customFormat="1" ht="15.75" customHeight="1" x14ac:dyDescent="0.25"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  <c r="AA357" s="96"/>
      <c r="AB357" s="96"/>
      <c r="AC357" s="96"/>
    </row>
    <row r="358" spans="2:29" s="99" customFormat="1" ht="15.75" customHeight="1" x14ac:dyDescent="0.25"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  <c r="AA358" s="96"/>
      <c r="AB358" s="96"/>
      <c r="AC358" s="96"/>
    </row>
    <row r="359" spans="2:29" s="99" customFormat="1" ht="15.75" customHeight="1" x14ac:dyDescent="0.25"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  <c r="AA359" s="96"/>
      <c r="AB359" s="96"/>
      <c r="AC359" s="96"/>
    </row>
    <row r="360" spans="2:29" s="99" customFormat="1" ht="15.75" customHeight="1" x14ac:dyDescent="0.25"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  <c r="AA360" s="96"/>
      <c r="AB360" s="96"/>
      <c r="AC360" s="96"/>
    </row>
    <row r="361" spans="2:29" s="99" customFormat="1" ht="15.75" customHeight="1" x14ac:dyDescent="0.25"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  <c r="AA361" s="96"/>
      <c r="AB361" s="96"/>
      <c r="AC361" s="96"/>
    </row>
    <row r="362" spans="2:29" s="99" customFormat="1" ht="15.75" customHeight="1" x14ac:dyDescent="0.25"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  <c r="AA362" s="96"/>
      <c r="AB362" s="96"/>
      <c r="AC362" s="96"/>
    </row>
    <row r="363" spans="2:29" s="99" customFormat="1" ht="15.75" customHeight="1" x14ac:dyDescent="0.25"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  <c r="AA363" s="96"/>
      <c r="AB363" s="96"/>
      <c r="AC363" s="96"/>
    </row>
    <row r="364" spans="2:29" s="99" customFormat="1" ht="15.75" customHeight="1" x14ac:dyDescent="0.25"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  <c r="AA364" s="96"/>
      <c r="AB364" s="96"/>
      <c r="AC364" s="96"/>
    </row>
    <row r="365" spans="2:29" s="99" customFormat="1" ht="15.75" customHeight="1" x14ac:dyDescent="0.25"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  <c r="AA365" s="96"/>
      <c r="AB365" s="96"/>
      <c r="AC365" s="96"/>
    </row>
    <row r="366" spans="2:29" s="99" customFormat="1" ht="15.75" customHeight="1" x14ac:dyDescent="0.25"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  <c r="AA366" s="96"/>
      <c r="AB366" s="96"/>
      <c r="AC366" s="96"/>
    </row>
    <row r="367" spans="2:29" s="99" customFormat="1" ht="15.75" customHeight="1" x14ac:dyDescent="0.25"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  <c r="AA367" s="96"/>
      <c r="AB367" s="96"/>
      <c r="AC367" s="96"/>
    </row>
    <row r="368" spans="2:29" s="99" customFormat="1" ht="15.75" customHeight="1" x14ac:dyDescent="0.25"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  <c r="AA368" s="96"/>
      <c r="AB368" s="96"/>
      <c r="AC368" s="96"/>
    </row>
    <row r="369" spans="2:29" s="99" customFormat="1" ht="15.75" customHeight="1" x14ac:dyDescent="0.25"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  <c r="AA369" s="96"/>
      <c r="AB369" s="96"/>
      <c r="AC369" s="96"/>
    </row>
    <row r="370" spans="2:29" s="99" customFormat="1" ht="15.75" customHeight="1" x14ac:dyDescent="0.25"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  <c r="AA370" s="96"/>
      <c r="AB370" s="96"/>
      <c r="AC370" s="96"/>
    </row>
    <row r="371" spans="2:29" s="99" customFormat="1" ht="15.75" customHeight="1" x14ac:dyDescent="0.25"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  <c r="AA371" s="96"/>
      <c r="AB371" s="96"/>
      <c r="AC371" s="96"/>
    </row>
    <row r="372" spans="2:29" s="99" customFormat="1" ht="15.75" customHeight="1" x14ac:dyDescent="0.25"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  <c r="AA372" s="96"/>
      <c r="AB372" s="96"/>
      <c r="AC372" s="96"/>
    </row>
    <row r="373" spans="2:29" s="99" customFormat="1" ht="15.75" customHeight="1" x14ac:dyDescent="0.25"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  <c r="AA373" s="96"/>
      <c r="AB373" s="96"/>
      <c r="AC373" s="96"/>
    </row>
    <row r="374" spans="2:29" s="99" customFormat="1" ht="15.75" customHeight="1" x14ac:dyDescent="0.25"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  <c r="AA374" s="96"/>
      <c r="AB374" s="96"/>
      <c r="AC374" s="96"/>
    </row>
    <row r="375" spans="2:29" s="99" customFormat="1" ht="15.75" customHeight="1" x14ac:dyDescent="0.25"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  <c r="AA375" s="96"/>
      <c r="AB375" s="96"/>
      <c r="AC375" s="96"/>
    </row>
    <row r="376" spans="2:29" s="99" customFormat="1" ht="15.75" customHeight="1" x14ac:dyDescent="0.25"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  <c r="AA376" s="96"/>
      <c r="AB376" s="96"/>
      <c r="AC376" s="96"/>
    </row>
    <row r="377" spans="2:29" s="99" customFormat="1" ht="15.75" customHeight="1" x14ac:dyDescent="0.25"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  <c r="AA377" s="96"/>
      <c r="AB377" s="96"/>
      <c r="AC377" s="96"/>
    </row>
    <row r="378" spans="2:29" s="99" customFormat="1" ht="15.75" customHeight="1" x14ac:dyDescent="0.25"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  <c r="AA378" s="96"/>
      <c r="AB378" s="96"/>
      <c r="AC378" s="96"/>
    </row>
    <row r="379" spans="2:29" s="99" customFormat="1" ht="15.75" customHeight="1" x14ac:dyDescent="0.25"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  <c r="AA379" s="96"/>
      <c r="AB379" s="96"/>
      <c r="AC379" s="96"/>
    </row>
    <row r="380" spans="2:29" s="99" customFormat="1" ht="15.75" customHeight="1" x14ac:dyDescent="0.25"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  <c r="AA380" s="96"/>
      <c r="AB380" s="96"/>
      <c r="AC380" s="96"/>
    </row>
    <row r="381" spans="2:29" s="99" customFormat="1" ht="15.75" customHeight="1" x14ac:dyDescent="0.25"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  <c r="AA381" s="96"/>
      <c r="AB381" s="96"/>
      <c r="AC381" s="96"/>
    </row>
    <row r="382" spans="2:29" s="99" customFormat="1" ht="15.75" customHeight="1" x14ac:dyDescent="0.25"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  <c r="AA382" s="96"/>
      <c r="AB382" s="96"/>
      <c r="AC382" s="96"/>
    </row>
    <row r="383" spans="2:29" s="99" customFormat="1" ht="15.75" customHeight="1" x14ac:dyDescent="0.25"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  <c r="AA383" s="96"/>
      <c r="AB383" s="96"/>
      <c r="AC383" s="96"/>
    </row>
    <row r="384" spans="2:29" s="99" customFormat="1" ht="15.75" customHeight="1" x14ac:dyDescent="0.25"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  <c r="AA384" s="96"/>
      <c r="AB384" s="96"/>
      <c r="AC384" s="96"/>
    </row>
    <row r="385" spans="2:29" s="99" customFormat="1" ht="15.75" customHeight="1" x14ac:dyDescent="0.25"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  <c r="AA385" s="96"/>
      <c r="AB385" s="96"/>
      <c r="AC385" s="96"/>
    </row>
    <row r="386" spans="2:29" s="99" customFormat="1" ht="15.75" customHeight="1" x14ac:dyDescent="0.25"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  <c r="AA386" s="96"/>
      <c r="AB386" s="96"/>
      <c r="AC386" s="96"/>
    </row>
    <row r="387" spans="2:29" s="99" customFormat="1" ht="15.75" customHeight="1" x14ac:dyDescent="0.25"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  <c r="AA387" s="96"/>
      <c r="AB387" s="96"/>
      <c r="AC387" s="96"/>
    </row>
    <row r="388" spans="2:29" s="99" customFormat="1" ht="15.75" customHeight="1" x14ac:dyDescent="0.25"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  <c r="AA388" s="96"/>
      <c r="AB388" s="96"/>
      <c r="AC388" s="96"/>
    </row>
    <row r="389" spans="2:29" s="99" customFormat="1" ht="15.75" customHeight="1" x14ac:dyDescent="0.25"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  <c r="AA389" s="96"/>
      <c r="AB389" s="96"/>
      <c r="AC389" s="96"/>
    </row>
    <row r="390" spans="2:29" s="99" customFormat="1" ht="15.75" customHeight="1" x14ac:dyDescent="0.25"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  <c r="AA390" s="96"/>
      <c r="AB390" s="96"/>
      <c r="AC390" s="96"/>
    </row>
    <row r="391" spans="2:29" s="99" customFormat="1" ht="15.75" customHeight="1" x14ac:dyDescent="0.25"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  <c r="AA391" s="96"/>
      <c r="AB391" s="96"/>
      <c r="AC391" s="96"/>
    </row>
    <row r="392" spans="2:29" s="99" customFormat="1" ht="15.75" customHeight="1" x14ac:dyDescent="0.25"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  <c r="AA392" s="96"/>
      <c r="AB392" s="96"/>
      <c r="AC392" s="96"/>
    </row>
    <row r="393" spans="2:29" s="99" customFormat="1" ht="15.75" customHeight="1" x14ac:dyDescent="0.25"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  <c r="AA393" s="96"/>
      <c r="AB393" s="96"/>
      <c r="AC393" s="96"/>
    </row>
    <row r="394" spans="2:29" s="99" customFormat="1" ht="15.75" customHeight="1" x14ac:dyDescent="0.25"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  <c r="AA394" s="96"/>
      <c r="AB394" s="96"/>
      <c r="AC394" s="96"/>
    </row>
    <row r="395" spans="2:29" s="99" customFormat="1" ht="15.75" customHeight="1" x14ac:dyDescent="0.25"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  <c r="AA395" s="96"/>
      <c r="AB395" s="96"/>
      <c r="AC395" s="96"/>
    </row>
    <row r="396" spans="2:29" s="99" customFormat="1" ht="15.75" customHeight="1" x14ac:dyDescent="0.25"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  <c r="AA396" s="96"/>
      <c r="AB396" s="96"/>
      <c r="AC396" s="96"/>
    </row>
    <row r="397" spans="2:29" s="99" customFormat="1" ht="15.75" customHeight="1" x14ac:dyDescent="0.25"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  <c r="AA397" s="96"/>
      <c r="AB397" s="96"/>
      <c r="AC397" s="96"/>
    </row>
    <row r="398" spans="2:29" s="99" customFormat="1" ht="15.75" customHeight="1" x14ac:dyDescent="0.25"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  <c r="AA398" s="96"/>
      <c r="AB398" s="96"/>
      <c r="AC398" s="96"/>
    </row>
    <row r="399" spans="2:29" s="99" customFormat="1" ht="15.75" customHeight="1" x14ac:dyDescent="0.25"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  <c r="AA399" s="96"/>
      <c r="AB399" s="96"/>
      <c r="AC399" s="96"/>
    </row>
    <row r="400" spans="2:29" s="99" customFormat="1" ht="15.75" customHeight="1" x14ac:dyDescent="0.25"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  <c r="AA400" s="96"/>
      <c r="AB400" s="96"/>
      <c r="AC400" s="96"/>
    </row>
    <row r="401" spans="2:29" s="99" customFormat="1" ht="15.75" customHeight="1" x14ac:dyDescent="0.25"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  <c r="AA401" s="96"/>
      <c r="AB401" s="96"/>
      <c r="AC401" s="96"/>
    </row>
    <row r="402" spans="2:29" s="99" customFormat="1" ht="15.75" customHeight="1" x14ac:dyDescent="0.25"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  <c r="AA402" s="96"/>
      <c r="AB402" s="96"/>
      <c r="AC402" s="96"/>
    </row>
    <row r="403" spans="2:29" s="99" customFormat="1" ht="15.75" customHeight="1" x14ac:dyDescent="0.25"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  <c r="AA403" s="96"/>
      <c r="AB403" s="96"/>
      <c r="AC403" s="96"/>
    </row>
    <row r="404" spans="2:29" s="99" customFormat="1" ht="15.75" customHeight="1" x14ac:dyDescent="0.25"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  <c r="AA404" s="96"/>
      <c r="AB404" s="96"/>
      <c r="AC404" s="96"/>
    </row>
    <row r="405" spans="2:29" s="99" customFormat="1" ht="15.75" customHeight="1" x14ac:dyDescent="0.25"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  <c r="AA405" s="96"/>
      <c r="AB405" s="96"/>
      <c r="AC405" s="96"/>
    </row>
    <row r="406" spans="2:29" s="99" customFormat="1" ht="15.75" customHeight="1" x14ac:dyDescent="0.25"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  <c r="AA406" s="96"/>
      <c r="AB406" s="96"/>
      <c r="AC406" s="96"/>
    </row>
    <row r="407" spans="2:29" s="99" customFormat="1" ht="15.75" customHeight="1" x14ac:dyDescent="0.25"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  <c r="AA407" s="96"/>
      <c r="AB407" s="96"/>
      <c r="AC407" s="96"/>
    </row>
    <row r="408" spans="2:29" s="99" customFormat="1" ht="15.75" customHeight="1" x14ac:dyDescent="0.25"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  <c r="AA408" s="96"/>
      <c r="AB408" s="96"/>
      <c r="AC408" s="96"/>
    </row>
    <row r="409" spans="2:29" s="99" customFormat="1" ht="15.75" customHeight="1" x14ac:dyDescent="0.25"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  <c r="AA409" s="96"/>
      <c r="AB409" s="96"/>
      <c r="AC409" s="96"/>
    </row>
    <row r="410" spans="2:29" s="99" customFormat="1" ht="15.75" customHeight="1" x14ac:dyDescent="0.25"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  <c r="AA410" s="96"/>
      <c r="AB410" s="96"/>
      <c r="AC410" s="96"/>
    </row>
    <row r="411" spans="2:29" s="99" customFormat="1" ht="15.75" customHeight="1" x14ac:dyDescent="0.25"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  <c r="AA411" s="96"/>
      <c r="AB411" s="96"/>
      <c r="AC411" s="96"/>
    </row>
    <row r="412" spans="2:29" s="99" customFormat="1" ht="15.75" customHeight="1" x14ac:dyDescent="0.25"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  <c r="AA412" s="96"/>
      <c r="AB412" s="96"/>
      <c r="AC412" s="96"/>
    </row>
    <row r="413" spans="2:29" s="99" customFormat="1" ht="15.75" customHeight="1" x14ac:dyDescent="0.25"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  <c r="AA413" s="96"/>
      <c r="AB413" s="96"/>
      <c r="AC413" s="96"/>
    </row>
    <row r="414" spans="2:29" s="99" customFormat="1" ht="15.75" customHeight="1" x14ac:dyDescent="0.25"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  <c r="AA414" s="96"/>
      <c r="AB414" s="96"/>
      <c r="AC414" s="96"/>
    </row>
    <row r="415" spans="2:29" s="99" customFormat="1" ht="15.75" customHeight="1" x14ac:dyDescent="0.25"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  <c r="AA415" s="96"/>
      <c r="AB415" s="96"/>
      <c r="AC415" s="96"/>
    </row>
    <row r="416" spans="2:29" s="99" customFormat="1" ht="15.75" customHeight="1" x14ac:dyDescent="0.25"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  <c r="AA416" s="96"/>
      <c r="AB416" s="96"/>
      <c r="AC416" s="96"/>
    </row>
    <row r="417" spans="2:29" s="99" customFormat="1" ht="15.75" customHeight="1" x14ac:dyDescent="0.25"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  <c r="AA417" s="96"/>
      <c r="AB417" s="96"/>
      <c r="AC417" s="96"/>
    </row>
    <row r="418" spans="2:29" s="99" customFormat="1" ht="15.75" customHeight="1" x14ac:dyDescent="0.25"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  <c r="AA418" s="96"/>
      <c r="AB418" s="96"/>
      <c r="AC418" s="96"/>
    </row>
    <row r="419" spans="2:29" s="99" customFormat="1" ht="15.75" customHeight="1" x14ac:dyDescent="0.25"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  <c r="AA419" s="96"/>
      <c r="AB419" s="96"/>
      <c r="AC419" s="96"/>
    </row>
    <row r="420" spans="2:29" s="99" customFormat="1" ht="15.75" customHeight="1" x14ac:dyDescent="0.25"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  <c r="AA420" s="96"/>
      <c r="AB420" s="96"/>
      <c r="AC420" s="96"/>
    </row>
    <row r="421" spans="2:29" s="99" customFormat="1" ht="15.75" customHeight="1" x14ac:dyDescent="0.25"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  <c r="AA421" s="96"/>
      <c r="AB421" s="96"/>
      <c r="AC421" s="96"/>
    </row>
    <row r="422" spans="2:29" s="99" customFormat="1" ht="15.75" customHeight="1" x14ac:dyDescent="0.25"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  <c r="AA422" s="96"/>
      <c r="AB422" s="96"/>
      <c r="AC422" s="96"/>
    </row>
    <row r="423" spans="2:29" s="99" customFormat="1" ht="15.75" customHeight="1" x14ac:dyDescent="0.25"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  <c r="AA423" s="96"/>
      <c r="AB423" s="96"/>
      <c r="AC423" s="96"/>
    </row>
    <row r="424" spans="2:29" s="99" customFormat="1" ht="15.75" customHeight="1" x14ac:dyDescent="0.25"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  <c r="AA424" s="96"/>
      <c r="AB424" s="96"/>
      <c r="AC424" s="96"/>
    </row>
    <row r="425" spans="2:29" s="99" customFormat="1" ht="15.75" customHeight="1" x14ac:dyDescent="0.25"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  <c r="AA425" s="96"/>
      <c r="AB425" s="96"/>
      <c r="AC425" s="96"/>
    </row>
    <row r="426" spans="2:29" s="99" customFormat="1" ht="15.75" customHeight="1" x14ac:dyDescent="0.25"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  <c r="AA426" s="96"/>
      <c r="AB426" s="96"/>
      <c r="AC426" s="96"/>
    </row>
    <row r="427" spans="2:29" s="99" customFormat="1" ht="15.75" customHeight="1" x14ac:dyDescent="0.25"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  <c r="AA427" s="96"/>
      <c r="AB427" s="96"/>
      <c r="AC427" s="96"/>
    </row>
    <row r="428" spans="2:29" s="99" customFormat="1" ht="15.75" customHeight="1" x14ac:dyDescent="0.25"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  <c r="AA428" s="96"/>
      <c r="AB428" s="96"/>
      <c r="AC428" s="96"/>
    </row>
    <row r="429" spans="2:29" s="99" customFormat="1" ht="15.75" customHeight="1" x14ac:dyDescent="0.25"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  <c r="AA429" s="96"/>
      <c r="AB429" s="96"/>
      <c r="AC429" s="96"/>
    </row>
    <row r="430" spans="2:29" s="99" customFormat="1" ht="15.75" customHeight="1" x14ac:dyDescent="0.25"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  <c r="AA430" s="96"/>
      <c r="AB430" s="96"/>
      <c r="AC430" s="96"/>
    </row>
    <row r="431" spans="2:29" s="99" customFormat="1" ht="15.75" customHeight="1" x14ac:dyDescent="0.25"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  <c r="AA431" s="96"/>
      <c r="AB431" s="96"/>
      <c r="AC431" s="96"/>
    </row>
    <row r="432" spans="2:29" s="99" customFormat="1" ht="15.75" customHeight="1" x14ac:dyDescent="0.25"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  <c r="AA432" s="96"/>
      <c r="AB432" s="96"/>
      <c r="AC432" s="96"/>
    </row>
    <row r="433" spans="2:29" s="99" customFormat="1" ht="15.75" customHeight="1" x14ac:dyDescent="0.25"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  <c r="AA433" s="96"/>
      <c r="AB433" s="96"/>
      <c r="AC433" s="96"/>
    </row>
    <row r="434" spans="2:29" s="99" customFormat="1" ht="15.75" customHeight="1" x14ac:dyDescent="0.25"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  <c r="AA434" s="96"/>
      <c r="AB434" s="96"/>
      <c r="AC434" s="96"/>
    </row>
    <row r="435" spans="2:29" s="99" customFormat="1" ht="15.75" customHeight="1" x14ac:dyDescent="0.25"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  <c r="AA435" s="96"/>
      <c r="AB435" s="96"/>
      <c r="AC435" s="96"/>
    </row>
    <row r="436" spans="2:29" s="99" customFormat="1" ht="15.75" customHeight="1" x14ac:dyDescent="0.25"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  <c r="AA436" s="96"/>
      <c r="AB436" s="96"/>
      <c r="AC436" s="96"/>
    </row>
    <row r="437" spans="2:29" s="99" customFormat="1" ht="15.75" customHeight="1" x14ac:dyDescent="0.25"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  <c r="AA437" s="96"/>
      <c r="AB437" s="96"/>
      <c r="AC437" s="96"/>
    </row>
    <row r="438" spans="2:29" s="99" customFormat="1" ht="15.75" customHeight="1" x14ac:dyDescent="0.25"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  <c r="AA438" s="96"/>
      <c r="AB438" s="96"/>
      <c r="AC438" s="96"/>
    </row>
    <row r="439" spans="2:29" s="99" customFormat="1" ht="15.75" customHeight="1" x14ac:dyDescent="0.25"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  <c r="AA439" s="96"/>
      <c r="AB439" s="96"/>
      <c r="AC439" s="96"/>
    </row>
    <row r="440" spans="2:29" s="99" customFormat="1" ht="15.75" customHeight="1" x14ac:dyDescent="0.25"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  <c r="AA440" s="96"/>
      <c r="AB440" s="96"/>
      <c r="AC440" s="96"/>
    </row>
    <row r="441" spans="2:29" s="99" customFormat="1" ht="15.75" customHeight="1" x14ac:dyDescent="0.25"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  <c r="AA441" s="96"/>
      <c r="AB441" s="96"/>
      <c r="AC441" s="96"/>
    </row>
    <row r="442" spans="2:29" s="99" customFormat="1" ht="15.75" customHeight="1" x14ac:dyDescent="0.25"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  <c r="AA442" s="96"/>
      <c r="AB442" s="96"/>
      <c r="AC442" s="96"/>
    </row>
    <row r="443" spans="2:29" s="99" customFormat="1" ht="15.75" customHeight="1" x14ac:dyDescent="0.25"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  <c r="AA443" s="96"/>
      <c r="AB443" s="96"/>
      <c r="AC443" s="96"/>
    </row>
    <row r="444" spans="2:29" s="99" customFormat="1" ht="15.75" customHeight="1" x14ac:dyDescent="0.25"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  <c r="AA444" s="96"/>
      <c r="AB444" s="96"/>
      <c r="AC444" s="96"/>
    </row>
    <row r="445" spans="2:29" s="99" customFormat="1" ht="15.75" customHeight="1" x14ac:dyDescent="0.25"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  <c r="AA445" s="96"/>
      <c r="AB445" s="96"/>
      <c r="AC445" s="96"/>
    </row>
    <row r="446" spans="2:29" s="99" customFormat="1" ht="15.75" customHeight="1" x14ac:dyDescent="0.25"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  <c r="AA446" s="96"/>
      <c r="AB446" s="96"/>
      <c r="AC446" s="96"/>
    </row>
    <row r="447" spans="2:29" s="99" customFormat="1" ht="15.75" customHeight="1" x14ac:dyDescent="0.25"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  <c r="AA447" s="96"/>
      <c r="AB447" s="96"/>
      <c r="AC447" s="96"/>
    </row>
    <row r="448" spans="2:29" s="99" customFormat="1" ht="15.75" customHeight="1" x14ac:dyDescent="0.25"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  <c r="AA448" s="96"/>
      <c r="AB448" s="96"/>
      <c r="AC448" s="96"/>
    </row>
    <row r="449" spans="2:29" s="99" customFormat="1" ht="15.75" customHeight="1" x14ac:dyDescent="0.25"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  <c r="AA449" s="96"/>
      <c r="AB449" s="96"/>
      <c r="AC449" s="96"/>
    </row>
    <row r="450" spans="2:29" s="99" customFormat="1" ht="15.75" customHeight="1" x14ac:dyDescent="0.25"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  <c r="AA450" s="96"/>
      <c r="AB450" s="96"/>
      <c r="AC450" s="96"/>
    </row>
    <row r="451" spans="2:29" s="99" customFormat="1" ht="15.75" customHeight="1" x14ac:dyDescent="0.25"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  <c r="AA451" s="96"/>
      <c r="AB451" s="96"/>
      <c r="AC451" s="96"/>
    </row>
    <row r="452" spans="2:29" s="99" customFormat="1" ht="15.75" customHeight="1" x14ac:dyDescent="0.25"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  <c r="AA452" s="96"/>
      <c r="AB452" s="96"/>
      <c r="AC452" s="96"/>
    </row>
    <row r="453" spans="2:29" s="99" customFormat="1" ht="15.75" customHeight="1" x14ac:dyDescent="0.25"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  <c r="AA453" s="96"/>
      <c r="AB453" s="96"/>
      <c r="AC453" s="96"/>
    </row>
    <row r="454" spans="2:29" s="99" customFormat="1" ht="15.75" customHeight="1" x14ac:dyDescent="0.25"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  <c r="AA454" s="96"/>
      <c r="AB454" s="96"/>
      <c r="AC454" s="96"/>
    </row>
    <row r="455" spans="2:29" s="99" customFormat="1" ht="15.75" customHeight="1" x14ac:dyDescent="0.25"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  <c r="AA455" s="96"/>
      <c r="AB455" s="96"/>
      <c r="AC455" s="96"/>
    </row>
    <row r="456" spans="2:29" s="99" customFormat="1" ht="15.75" customHeight="1" x14ac:dyDescent="0.25"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  <c r="AA456" s="96"/>
      <c r="AB456" s="96"/>
      <c r="AC456" s="96"/>
    </row>
    <row r="457" spans="2:29" s="99" customFormat="1" ht="15.75" customHeight="1" x14ac:dyDescent="0.25"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  <c r="AA457" s="96"/>
      <c r="AB457" s="96"/>
      <c r="AC457" s="96"/>
    </row>
    <row r="458" spans="2:29" s="99" customFormat="1" ht="15.75" customHeight="1" x14ac:dyDescent="0.25"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  <c r="AA458" s="96"/>
      <c r="AB458" s="96"/>
      <c r="AC458" s="96"/>
    </row>
    <row r="459" spans="2:29" s="99" customFormat="1" ht="15.75" customHeight="1" x14ac:dyDescent="0.25"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  <c r="AA459" s="96"/>
      <c r="AB459" s="96"/>
      <c r="AC459" s="96"/>
    </row>
    <row r="460" spans="2:29" s="99" customFormat="1" ht="15.75" customHeight="1" x14ac:dyDescent="0.25"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  <c r="AA460" s="96"/>
      <c r="AB460" s="96"/>
      <c r="AC460" s="96"/>
    </row>
    <row r="461" spans="2:29" s="99" customFormat="1" ht="15.75" customHeight="1" x14ac:dyDescent="0.25"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  <c r="AA461" s="96"/>
      <c r="AB461" s="96"/>
      <c r="AC461" s="96"/>
    </row>
    <row r="462" spans="2:29" s="99" customFormat="1" ht="15.75" customHeight="1" x14ac:dyDescent="0.25"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  <c r="AA462" s="96"/>
      <c r="AB462" s="96"/>
      <c r="AC462" s="96"/>
    </row>
    <row r="463" spans="2:29" s="99" customFormat="1" ht="15.75" customHeight="1" x14ac:dyDescent="0.25"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  <c r="AA463" s="96"/>
      <c r="AB463" s="96"/>
      <c r="AC463" s="96"/>
    </row>
    <row r="464" spans="2:29" s="99" customFormat="1" ht="15.75" customHeight="1" x14ac:dyDescent="0.25"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  <c r="AA464" s="96"/>
      <c r="AB464" s="96"/>
      <c r="AC464" s="96"/>
    </row>
    <row r="465" spans="2:29" s="99" customFormat="1" ht="15.75" customHeight="1" x14ac:dyDescent="0.25"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  <c r="AA465" s="96"/>
      <c r="AB465" s="96"/>
      <c r="AC465" s="96"/>
    </row>
    <row r="466" spans="2:29" s="99" customFormat="1" ht="15.75" customHeight="1" x14ac:dyDescent="0.25"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  <c r="AA466" s="96"/>
      <c r="AB466" s="96"/>
      <c r="AC466" s="96"/>
    </row>
    <row r="467" spans="2:29" s="99" customFormat="1" ht="15.75" customHeight="1" x14ac:dyDescent="0.25"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  <c r="AA467" s="96"/>
      <c r="AB467" s="96"/>
      <c r="AC467" s="96"/>
    </row>
    <row r="468" spans="2:29" s="99" customFormat="1" ht="15.75" customHeight="1" x14ac:dyDescent="0.25"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  <c r="AA468" s="96"/>
      <c r="AB468" s="96"/>
      <c r="AC468" s="96"/>
    </row>
    <row r="469" spans="2:29" s="99" customFormat="1" ht="15.75" customHeight="1" x14ac:dyDescent="0.25"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  <c r="AA469" s="96"/>
      <c r="AB469" s="96"/>
      <c r="AC469" s="96"/>
    </row>
    <row r="470" spans="2:29" s="99" customFormat="1" ht="15.75" customHeight="1" x14ac:dyDescent="0.25"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  <c r="AA470" s="96"/>
      <c r="AB470" s="96"/>
      <c r="AC470" s="96"/>
    </row>
    <row r="471" spans="2:29" s="99" customFormat="1" ht="15.75" customHeight="1" x14ac:dyDescent="0.25"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  <c r="AA471" s="96"/>
      <c r="AB471" s="96"/>
      <c r="AC471" s="96"/>
    </row>
    <row r="472" spans="2:29" s="99" customFormat="1" ht="15.75" customHeight="1" x14ac:dyDescent="0.25"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  <c r="AA472" s="96"/>
      <c r="AB472" s="96"/>
      <c r="AC472" s="96"/>
    </row>
    <row r="473" spans="2:29" s="99" customFormat="1" ht="15.75" customHeight="1" x14ac:dyDescent="0.25"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  <c r="AA473" s="96"/>
      <c r="AB473" s="96"/>
      <c r="AC473" s="96"/>
    </row>
    <row r="474" spans="2:29" s="99" customFormat="1" ht="15.75" customHeight="1" x14ac:dyDescent="0.25"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  <c r="AA474" s="96"/>
      <c r="AB474" s="96"/>
      <c r="AC474" s="96"/>
    </row>
    <row r="475" spans="2:29" s="99" customFormat="1" ht="15.75" customHeight="1" x14ac:dyDescent="0.25"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  <c r="AA475" s="96"/>
      <c r="AB475" s="96"/>
      <c r="AC475" s="96"/>
    </row>
    <row r="476" spans="2:29" s="99" customFormat="1" ht="15.75" customHeight="1" x14ac:dyDescent="0.25"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  <c r="AA476" s="96"/>
      <c r="AB476" s="96"/>
      <c r="AC476" s="96"/>
    </row>
    <row r="477" spans="2:29" s="99" customFormat="1" ht="15.75" customHeight="1" x14ac:dyDescent="0.25"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  <c r="AA477" s="96"/>
      <c r="AB477" s="96"/>
      <c r="AC477" s="96"/>
    </row>
    <row r="478" spans="2:29" s="99" customFormat="1" ht="15.75" customHeight="1" x14ac:dyDescent="0.25"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  <c r="AA478" s="96"/>
      <c r="AB478" s="96"/>
      <c r="AC478" s="96"/>
    </row>
    <row r="479" spans="2:29" s="99" customFormat="1" ht="15.75" customHeight="1" x14ac:dyDescent="0.25"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  <c r="AA479" s="96"/>
      <c r="AB479" s="96"/>
      <c r="AC479" s="96"/>
    </row>
    <row r="480" spans="2:29" s="99" customFormat="1" ht="15.75" customHeight="1" x14ac:dyDescent="0.25"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  <c r="AA480" s="96"/>
      <c r="AB480" s="96"/>
      <c r="AC480" s="96"/>
    </row>
    <row r="481" spans="2:29" s="99" customFormat="1" ht="15.75" customHeight="1" x14ac:dyDescent="0.25"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  <c r="AA481" s="96"/>
      <c r="AB481" s="96"/>
      <c r="AC481" s="96"/>
    </row>
    <row r="482" spans="2:29" s="99" customFormat="1" ht="15.75" customHeight="1" x14ac:dyDescent="0.25"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  <c r="AA482" s="96"/>
      <c r="AB482" s="96"/>
      <c r="AC482" s="96"/>
    </row>
    <row r="483" spans="2:29" s="99" customFormat="1" ht="15.75" customHeight="1" x14ac:dyDescent="0.25"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  <c r="AA483" s="96"/>
      <c r="AB483" s="96"/>
      <c r="AC483" s="96"/>
    </row>
    <row r="484" spans="2:29" s="99" customFormat="1" ht="15.75" customHeight="1" x14ac:dyDescent="0.25"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  <c r="AA484" s="96"/>
      <c r="AB484" s="96"/>
      <c r="AC484" s="96"/>
    </row>
    <row r="485" spans="2:29" s="99" customFormat="1" ht="15.75" customHeight="1" x14ac:dyDescent="0.25"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  <c r="AA485" s="96"/>
      <c r="AB485" s="96"/>
      <c r="AC485" s="96"/>
    </row>
    <row r="486" spans="2:29" s="99" customFormat="1" ht="15.75" customHeight="1" x14ac:dyDescent="0.25"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  <c r="AA486" s="96"/>
      <c r="AB486" s="96"/>
      <c r="AC486" s="96"/>
    </row>
    <row r="487" spans="2:29" s="99" customFormat="1" ht="15.75" customHeight="1" x14ac:dyDescent="0.25"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  <c r="AA487" s="96"/>
      <c r="AB487" s="96"/>
      <c r="AC487" s="96"/>
    </row>
    <row r="488" spans="2:29" s="99" customFormat="1" ht="15.75" customHeight="1" x14ac:dyDescent="0.25"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  <c r="AA488" s="96"/>
      <c r="AB488" s="96"/>
      <c r="AC488" s="96"/>
    </row>
    <row r="489" spans="2:29" s="99" customFormat="1" ht="15.75" customHeight="1" x14ac:dyDescent="0.25"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  <c r="AA489" s="96"/>
      <c r="AB489" s="96"/>
      <c r="AC489" s="96"/>
    </row>
    <row r="490" spans="2:29" s="99" customFormat="1" ht="15.75" customHeight="1" x14ac:dyDescent="0.25"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  <c r="AA490" s="96"/>
      <c r="AB490" s="96"/>
      <c r="AC490" s="96"/>
    </row>
    <row r="491" spans="2:29" s="99" customFormat="1" ht="15.75" customHeight="1" x14ac:dyDescent="0.25"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  <c r="AA491" s="96"/>
      <c r="AB491" s="96"/>
      <c r="AC491" s="96"/>
    </row>
    <row r="492" spans="2:29" s="99" customFormat="1" ht="15.75" customHeight="1" x14ac:dyDescent="0.25"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  <c r="AA492" s="96"/>
      <c r="AB492" s="96"/>
      <c r="AC492" s="96"/>
    </row>
    <row r="493" spans="2:29" s="99" customFormat="1" ht="15.75" customHeight="1" x14ac:dyDescent="0.25"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  <c r="AA493" s="96"/>
      <c r="AB493" s="96"/>
      <c r="AC493" s="96"/>
    </row>
    <row r="494" spans="2:29" s="99" customFormat="1" ht="15.75" customHeight="1" x14ac:dyDescent="0.25"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  <c r="AA494" s="96"/>
      <c r="AB494" s="96"/>
      <c r="AC494" s="96"/>
    </row>
    <row r="495" spans="2:29" s="99" customFormat="1" ht="15.75" customHeight="1" x14ac:dyDescent="0.25"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  <c r="AA495" s="96"/>
      <c r="AB495" s="96"/>
      <c r="AC495" s="96"/>
    </row>
    <row r="496" spans="2:29" s="99" customFormat="1" ht="15.75" customHeight="1" x14ac:dyDescent="0.25"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  <c r="AA496" s="96"/>
      <c r="AB496" s="96"/>
      <c r="AC496" s="96"/>
    </row>
    <row r="497" spans="2:29" s="99" customFormat="1" ht="15.75" customHeight="1" x14ac:dyDescent="0.25"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  <c r="AA497" s="96"/>
      <c r="AB497" s="96"/>
      <c r="AC497" s="96"/>
    </row>
    <row r="498" spans="2:29" s="99" customFormat="1" ht="15.75" customHeight="1" x14ac:dyDescent="0.25"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  <c r="AA498" s="96"/>
      <c r="AB498" s="96"/>
      <c r="AC498" s="96"/>
    </row>
    <row r="499" spans="2:29" s="99" customFormat="1" ht="15.75" customHeight="1" x14ac:dyDescent="0.25"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  <c r="AA499" s="96"/>
      <c r="AB499" s="96"/>
      <c r="AC499" s="96"/>
    </row>
    <row r="500" spans="2:29" s="99" customFormat="1" ht="15.75" customHeight="1" x14ac:dyDescent="0.25"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  <c r="AA500" s="96"/>
      <c r="AB500" s="96"/>
      <c r="AC500" s="96"/>
    </row>
    <row r="501" spans="2:29" s="99" customFormat="1" ht="15.75" customHeight="1" x14ac:dyDescent="0.25"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  <c r="AA501" s="96"/>
      <c r="AB501" s="96"/>
      <c r="AC501" s="96"/>
    </row>
    <row r="502" spans="2:29" s="99" customFormat="1" ht="15.75" customHeight="1" x14ac:dyDescent="0.25"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  <c r="AB502" s="96"/>
      <c r="AC502" s="96"/>
    </row>
    <row r="503" spans="2:29" s="99" customFormat="1" ht="15.75" customHeight="1" x14ac:dyDescent="0.25"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  <c r="AA503" s="96"/>
      <c r="AB503" s="96"/>
      <c r="AC503" s="96"/>
    </row>
    <row r="504" spans="2:29" s="99" customFormat="1" ht="15.75" customHeight="1" x14ac:dyDescent="0.25"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  <c r="AA504" s="96"/>
      <c r="AB504" s="96"/>
      <c r="AC504" s="96"/>
    </row>
    <row r="505" spans="2:29" s="99" customFormat="1" ht="15.75" customHeight="1" x14ac:dyDescent="0.25"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  <c r="AA505" s="96"/>
      <c r="AB505" s="96"/>
      <c r="AC505" s="96"/>
    </row>
    <row r="506" spans="2:29" s="99" customFormat="1" ht="15.75" customHeight="1" x14ac:dyDescent="0.25"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  <c r="AA506" s="96"/>
      <c r="AB506" s="96"/>
      <c r="AC506" s="96"/>
    </row>
    <row r="507" spans="2:29" s="99" customFormat="1" ht="15.75" customHeight="1" x14ac:dyDescent="0.25"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  <c r="AA507" s="96"/>
      <c r="AB507" s="96"/>
      <c r="AC507" s="96"/>
    </row>
    <row r="508" spans="2:29" s="99" customFormat="1" ht="15.75" customHeight="1" x14ac:dyDescent="0.25"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  <c r="AA508" s="96"/>
      <c r="AB508" s="96"/>
      <c r="AC508" s="96"/>
    </row>
    <row r="509" spans="2:29" s="99" customFormat="1" ht="15.75" customHeight="1" x14ac:dyDescent="0.25"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  <c r="AA509" s="96"/>
      <c r="AB509" s="96"/>
      <c r="AC509" s="96"/>
    </row>
    <row r="510" spans="2:29" s="99" customFormat="1" ht="15.75" customHeight="1" x14ac:dyDescent="0.25"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  <c r="AA510" s="96"/>
      <c r="AB510" s="96"/>
      <c r="AC510" s="96"/>
    </row>
    <row r="511" spans="2:29" s="99" customFormat="1" ht="15.75" customHeight="1" x14ac:dyDescent="0.25"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  <c r="AA511" s="96"/>
      <c r="AB511" s="96"/>
      <c r="AC511" s="96"/>
    </row>
    <row r="512" spans="2:29" s="99" customFormat="1" ht="15.75" customHeight="1" x14ac:dyDescent="0.25"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  <c r="AA512" s="96"/>
      <c r="AB512" s="96"/>
      <c r="AC512" s="96"/>
    </row>
    <row r="513" spans="2:29" s="99" customFormat="1" ht="15.75" customHeight="1" x14ac:dyDescent="0.25"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  <c r="AA513" s="96"/>
      <c r="AB513" s="96"/>
      <c r="AC513" s="96"/>
    </row>
    <row r="514" spans="2:29" s="99" customFormat="1" ht="15.75" customHeight="1" x14ac:dyDescent="0.25"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  <c r="AA514" s="96"/>
      <c r="AB514" s="96"/>
      <c r="AC514" s="96"/>
    </row>
    <row r="515" spans="2:29" s="99" customFormat="1" ht="15.75" customHeight="1" x14ac:dyDescent="0.25"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  <c r="AA515" s="96"/>
      <c r="AB515" s="96"/>
      <c r="AC515" s="96"/>
    </row>
    <row r="516" spans="2:29" s="99" customFormat="1" ht="15.75" customHeight="1" x14ac:dyDescent="0.25"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  <c r="AA516" s="96"/>
      <c r="AB516" s="96"/>
      <c r="AC516" s="96"/>
    </row>
    <row r="517" spans="2:29" s="99" customFormat="1" ht="15.75" customHeight="1" x14ac:dyDescent="0.25"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  <c r="AA517" s="96"/>
      <c r="AB517" s="96"/>
      <c r="AC517" s="96"/>
    </row>
    <row r="518" spans="2:29" s="99" customFormat="1" ht="15.75" customHeight="1" x14ac:dyDescent="0.25"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  <c r="AA518" s="96"/>
      <c r="AB518" s="96"/>
      <c r="AC518" s="96"/>
    </row>
    <row r="519" spans="2:29" s="99" customFormat="1" ht="15.75" customHeight="1" x14ac:dyDescent="0.25"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  <c r="AA519" s="96"/>
      <c r="AB519" s="96"/>
      <c r="AC519" s="96"/>
    </row>
    <row r="520" spans="2:29" s="99" customFormat="1" ht="15.75" customHeight="1" x14ac:dyDescent="0.25"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  <c r="AA520" s="96"/>
      <c r="AB520" s="96"/>
      <c r="AC520" s="96"/>
    </row>
    <row r="521" spans="2:29" s="99" customFormat="1" ht="15.75" customHeight="1" x14ac:dyDescent="0.25"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  <c r="AA521" s="96"/>
      <c r="AB521" s="96"/>
      <c r="AC521" s="96"/>
    </row>
    <row r="522" spans="2:29" s="99" customFormat="1" ht="15.75" customHeight="1" x14ac:dyDescent="0.25"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  <c r="AA522" s="96"/>
      <c r="AB522" s="96"/>
      <c r="AC522" s="96"/>
    </row>
    <row r="523" spans="2:29" s="99" customFormat="1" ht="15.75" customHeight="1" x14ac:dyDescent="0.25"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  <c r="AA523" s="96"/>
      <c r="AB523" s="96"/>
      <c r="AC523" s="96"/>
    </row>
    <row r="524" spans="2:29" s="99" customFormat="1" ht="15.75" customHeight="1" x14ac:dyDescent="0.25"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  <c r="AA524" s="96"/>
      <c r="AB524" s="96"/>
      <c r="AC524" s="96"/>
    </row>
    <row r="525" spans="2:29" s="99" customFormat="1" ht="15.75" customHeight="1" x14ac:dyDescent="0.25"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  <c r="AA525" s="96"/>
      <c r="AB525" s="96"/>
      <c r="AC525" s="96"/>
    </row>
    <row r="526" spans="2:29" s="99" customFormat="1" ht="15.75" customHeight="1" x14ac:dyDescent="0.25"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  <c r="AA526" s="96"/>
      <c r="AB526" s="96"/>
      <c r="AC526" s="96"/>
    </row>
    <row r="527" spans="2:29" s="99" customFormat="1" ht="15.75" customHeight="1" x14ac:dyDescent="0.25"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  <c r="AA527" s="96"/>
      <c r="AB527" s="96"/>
      <c r="AC527" s="96"/>
    </row>
    <row r="528" spans="2:29" s="99" customFormat="1" ht="15.75" customHeight="1" x14ac:dyDescent="0.25"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  <c r="AA528" s="96"/>
      <c r="AB528" s="96"/>
      <c r="AC528" s="96"/>
    </row>
    <row r="529" spans="2:29" s="99" customFormat="1" ht="15.75" customHeight="1" x14ac:dyDescent="0.25"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  <c r="AA529" s="96"/>
      <c r="AB529" s="96"/>
      <c r="AC529" s="96"/>
    </row>
    <row r="530" spans="2:29" s="99" customFormat="1" ht="15.75" customHeight="1" x14ac:dyDescent="0.25"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  <c r="AA530" s="96"/>
      <c r="AB530" s="96"/>
      <c r="AC530" s="96"/>
    </row>
    <row r="531" spans="2:29" s="99" customFormat="1" ht="15.75" customHeight="1" x14ac:dyDescent="0.25"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  <c r="AA531" s="96"/>
      <c r="AB531" s="96"/>
      <c r="AC531" s="96"/>
    </row>
    <row r="532" spans="2:29" s="99" customFormat="1" ht="15.75" customHeight="1" x14ac:dyDescent="0.25"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  <c r="AA532" s="96"/>
      <c r="AB532" s="96"/>
      <c r="AC532" s="96"/>
    </row>
    <row r="533" spans="2:29" s="99" customFormat="1" ht="15.75" customHeight="1" x14ac:dyDescent="0.25"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  <c r="AA533" s="96"/>
      <c r="AB533" s="96"/>
      <c r="AC533" s="96"/>
    </row>
    <row r="534" spans="2:29" s="99" customFormat="1" ht="15.75" customHeight="1" x14ac:dyDescent="0.25"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  <c r="AA534" s="96"/>
      <c r="AB534" s="96"/>
      <c r="AC534" s="96"/>
    </row>
    <row r="535" spans="2:29" s="99" customFormat="1" ht="15.75" customHeight="1" x14ac:dyDescent="0.25"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  <c r="AA535" s="96"/>
      <c r="AB535" s="96"/>
      <c r="AC535" s="96"/>
    </row>
    <row r="536" spans="2:29" s="99" customFormat="1" ht="15.75" customHeight="1" x14ac:dyDescent="0.25"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  <c r="AA536" s="96"/>
      <c r="AB536" s="96"/>
      <c r="AC536" s="96"/>
    </row>
    <row r="537" spans="2:29" s="99" customFormat="1" ht="15.75" customHeight="1" x14ac:dyDescent="0.25"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  <c r="AA537" s="96"/>
      <c r="AB537" s="96"/>
      <c r="AC537" s="96"/>
    </row>
    <row r="538" spans="2:29" s="99" customFormat="1" ht="15.75" customHeight="1" x14ac:dyDescent="0.25"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  <c r="AA538" s="96"/>
      <c r="AB538" s="96"/>
      <c r="AC538" s="96"/>
    </row>
    <row r="539" spans="2:29" s="99" customFormat="1" ht="15.75" customHeight="1" x14ac:dyDescent="0.25"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  <c r="AA539" s="96"/>
      <c r="AB539" s="96"/>
      <c r="AC539" s="96"/>
    </row>
    <row r="540" spans="2:29" s="99" customFormat="1" ht="15.75" customHeight="1" x14ac:dyDescent="0.25"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  <c r="AA540" s="96"/>
      <c r="AB540" s="96"/>
      <c r="AC540" s="96"/>
    </row>
    <row r="541" spans="2:29" s="99" customFormat="1" ht="15.75" customHeight="1" x14ac:dyDescent="0.25"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  <c r="AA541" s="96"/>
      <c r="AB541" s="96"/>
      <c r="AC541" s="96"/>
    </row>
    <row r="542" spans="2:29" s="99" customFormat="1" ht="15.75" customHeight="1" x14ac:dyDescent="0.25"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  <c r="AA542" s="96"/>
      <c r="AB542" s="96"/>
      <c r="AC542" s="96"/>
    </row>
    <row r="543" spans="2:29" s="99" customFormat="1" ht="15.75" customHeight="1" x14ac:dyDescent="0.25"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  <c r="AA543" s="96"/>
      <c r="AB543" s="96"/>
      <c r="AC543" s="96"/>
    </row>
    <row r="544" spans="2:29" s="99" customFormat="1" ht="15.75" customHeight="1" x14ac:dyDescent="0.25"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  <c r="AA544" s="96"/>
      <c r="AB544" s="96"/>
      <c r="AC544" s="96"/>
    </row>
    <row r="545" spans="2:29" s="99" customFormat="1" ht="15.75" customHeight="1" x14ac:dyDescent="0.25"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  <c r="AA545" s="96"/>
      <c r="AB545" s="96"/>
      <c r="AC545" s="96"/>
    </row>
    <row r="546" spans="2:29" s="99" customFormat="1" ht="15.75" customHeight="1" x14ac:dyDescent="0.25"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  <c r="AA546" s="96"/>
      <c r="AB546" s="96"/>
      <c r="AC546" s="96"/>
    </row>
    <row r="547" spans="2:29" s="99" customFormat="1" ht="15.75" customHeight="1" x14ac:dyDescent="0.25"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  <c r="AA547" s="96"/>
      <c r="AB547" s="96"/>
      <c r="AC547" s="96"/>
    </row>
    <row r="548" spans="2:29" s="99" customFormat="1" ht="15.75" customHeight="1" x14ac:dyDescent="0.25"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  <c r="AA548" s="96"/>
      <c r="AB548" s="96"/>
      <c r="AC548" s="96"/>
    </row>
    <row r="549" spans="2:29" s="99" customFormat="1" ht="15.75" customHeight="1" x14ac:dyDescent="0.25"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  <c r="AA549" s="96"/>
      <c r="AB549" s="96"/>
      <c r="AC549" s="96"/>
    </row>
    <row r="550" spans="2:29" s="99" customFormat="1" ht="15.75" customHeight="1" x14ac:dyDescent="0.25"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  <c r="AA550" s="96"/>
      <c r="AB550" s="96"/>
      <c r="AC550" s="96"/>
    </row>
    <row r="551" spans="2:29" s="99" customFormat="1" ht="15.75" customHeight="1" x14ac:dyDescent="0.25"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  <c r="AA551" s="96"/>
      <c r="AB551" s="96"/>
      <c r="AC551" s="96"/>
    </row>
    <row r="552" spans="2:29" s="99" customFormat="1" ht="15.75" customHeight="1" x14ac:dyDescent="0.25"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  <c r="AA552" s="96"/>
      <c r="AB552" s="96"/>
      <c r="AC552" s="96"/>
    </row>
    <row r="553" spans="2:29" s="99" customFormat="1" ht="15.75" customHeight="1" x14ac:dyDescent="0.25"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  <c r="AA553" s="96"/>
      <c r="AB553" s="96"/>
      <c r="AC553" s="96"/>
    </row>
    <row r="554" spans="2:29" s="99" customFormat="1" ht="15.75" customHeight="1" x14ac:dyDescent="0.25"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  <c r="AA554" s="96"/>
      <c r="AB554" s="96"/>
      <c r="AC554" s="96"/>
    </row>
    <row r="555" spans="2:29" s="99" customFormat="1" ht="15.75" customHeight="1" x14ac:dyDescent="0.25"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  <c r="AA555" s="96"/>
      <c r="AB555" s="96"/>
      <c r="AC555" s="96"/>
    </row>
    <row r="556" spans="2:29" s="99" customFormat="1" ht="15.75" customHeight="1" x14ac:dyDescent="0.25"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  <c r="AA556" s="96"/>
      <c r="AB556" s="96"/>
      <c r="AC556" s="96"/>
    </row>
    <row r="557" spans="2:29" s="99" customFormat="1" ht="15.75" customHeight="1" x14ac:dyDescent="0.25"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  <c r="AA557" s="96"/>
      <c r="AB557" s="96"/>
      <c r="AC557" s="96"/>
    </row>
    <row r="558" spans="2:29" s="99" customFormat="1" ht="15.75" customHeight="1" x14ac:dyDescent="0.25"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  <c r="AA558" s="96"/>
      <c r="AB558" s="96"/>
      <c r="AC558" s="96"/>
    </row>
    <row r="559" spans="2:29" s="99" customFormat="1" ht="15.75" customHeight="1" x14ac:dyDescent="0.25"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  <c r="AA559" s="96"/>
      <c r="AB559" s="96"/>
      <c r="AC559" s="96"/>
    </row>
    <row r="560" spans="2:29" s="99" customFormat="1" ht="15.75" customHeight="1" x14ac:dyDescent="0.25"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  <c r="AA560" s="96"/>
      <c r="AB560" s="96"/>
      <c r="AC560" s="96"/>
    </row>
    <row r="561" spans="2:29" s="99" customFormat="1" ht="15.75" customHeight="1" x14ac:dyDescent="0.25"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  <c r="AA561" s="96"/>
      <c r="AB561" s="96"/>
      <c r="AC561" s="96"/>
    </row>
    <row r="562" spans="2:29" s="99" customFormat="1" ht="15.75" customHeight="1" x14ac:dyDescent="0.25"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  <c r="AA562" s="96"/>
      <c r="AB562" s="96"/>
      <c r="AC562" s="96"/>
    </row>
    <row r="563" spans="2:29" s="99" customFormat="1" ht="15.75" customHeight="1" x14ac:dyDescent="0.25"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  <c r="AA563" s="96"/>
      <c r="AB563" s="96"/>
      <c r="AC563" s="96"/>
    </row>
    <row r="564" spans="2:29" s="99" customFormat="1" ht="15.75" customHeight="1" x14ac:dyDescent="0.25"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  <c r="AA564" s="96"/>
      <c r="AB564" s="96"/>
      <c r="AC564" s="96"/>
    </row>
    <row r="565" spans="2:29" s="99" customFormat="1" ht="15.75" customHeight="1" x14ac:dyDescent="0.25"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  <c r="AA565" s="96"/>
      <c r="AB565" s="96"/>
      <c r="AC565" s="96"/>
    </row>
    <row r="566" spans="2:29" s="99" customFormat="1" ht="15.75" customHeight="1" x14ac:dyDescent="0.25"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  <c r="AA566" s="96"/>
      <c r="AB566" s="96"/>
      <c r="AC566" s="96"/>
    </row>
    <row r="567" spans="2:29" s="99" customFormat="1" ht="15.75" customHeight="1" x14ac:dyDescent="0.25"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  <c r="AA567" s="96"/>
      <c r="AB567" s="96"/>
      <c r="AC567" s="96"/>
    </row>
    <row r="568" spans="2:29" s="99" customFormat="1" ht="15.75" customHeight="1" x14ac:dyDescent="0.25"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  <c r="AA568" s="96"/>
      <c r="AB568" s="96"/>
      <c r="AC568" s="96"/>
    </row>
    <row r="569" spans="2:29" s="99" customFormat="1" ht="15.75" customHeight="1" x14ac:dyDescent="0.25"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  <c r="AA569" s="96"/>
      <c r="AB569" s="96"/>
      <c r="AC569" s="96"/>
    </row>
    <row r="570" spans="2:29" s="99" customFormat="1" ht="15.75" customHeight="1" x14ac:dyDescent="0.25"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  <c r="AA570" s="96"/>
      <c r="AB570" s="96"/>
      <c r="AC570" s="96"/>
    </row>
    <row r="571" spans="2:29" s="99" customFormat="1" ht="15.75" customHeight="1" x14ac:dyDescent="0.25"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  <c r="AA571" s="96"/>
      <c r="AB571" s="96"/>
      <c r="AC571" s="96"/>
    </row>
    <row r="572" spans="2:29" s="99" customFormat="1" ht="15.75" customHeight="1" x14ac:dyDescent="0.25"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  <c r="AA572" s="96"/>
      <c r="AB572" s="96"/>
      <c r="AC572" s="96"/>
    </row>
    <row r="573" spans="2:29" s="99" customFormat="1" ht="15.75" customHeight="1" x14ac:dyDescent="0.25"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  <c r="AA573" s="96"/>
      <c r="AB573" s="96"/>
      <c r="AC573" s="96"/>
    </row>
    <row r="574" spans="2:29" s="99" customFormat="1" ht="15.75" customHeight="1" x14ac:dyDescent="0.25"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  <c r="AA574" s="96"/>
      <c r="AB574" s="96"/>
      <c r="AC574" s="96"/>
    </row>
    <row r="575" spans="2:29" s="99" customFormat="1" ht="15.75" customHeight="1" x14ac:dyDescent="0.25"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  <c r="AA575" s="96"/>
      <c r="AB575" s="96"/>
      <c r="AC575" s="96"/>
    </row>
    <row r="576" spans="2:29" s="99" customFormat="1" ht="15.75" customHeight="1" x14ac:dyDescent="0.25"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  <c r="AA576" s="96"/>
      <c r="AB576" s="96"/>
      <c r="AC576" s="96"/>
    </row>
    <row r="577" spans="2:29" s="99" customFormat="1" ht="15.75" customHeight="1" x14ac:dyDescent="0.25"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  <c r="AA577" s="96"/>
      <c r="AB577" s="96"/>
      <c r="AC577" s="96"/>
    </row>
    <row r="578" spans="2:29" s="99" customFormat="1" ht="15.75" customHeight="1" x14ac:dyDescent="0.25"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  <c r="AA578" s="96"/>
      <c r="AB578" s="96"/>
      <c r="AC578" s="96"/>
    </row>
    <row r="579" spans="2:29" s="99" customFormat="1" ht="15.75" customHeight="1" x14ac:dyDescent="0.25"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  <c r="AA579" s="96"/>
      <c r="AB579" s="96"/>
      <c r="AC579" s="96"/>
    </row>
    <row r="580" spans="2:29" s="99" customFormat="1" ht="15.75" customHeight="1" x14ac:dyDescent="0.25"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  <c r="AA580" s="96"/>
      <c r="AB580" s="96"/>
      <c r="AC580" s="96"/>
    </row>
    <row r="581" spans="2:29" s="99" customFormat="1" ht="15.75" customHeight="1" x14ac:dyDescent="0.25"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  <c r="AA581" s="96"/>
      <c r="AB581" s="96"/>
      <c r="AC581" s="96"/>
    </row>
    <row r="582" spans="2:29" s="99" customFormat="1" ht="15.75" customHeight="1" x14ac:dyDescent="0.25"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  <c r="AA582" s="96"/>
      <c r="AB582" s="96"/>
      <c r="AC582" s="96"/>
    </row>
    <row r="583" spans="2:29" s="99" customFormat="1" ht="15.75" customHeight="1" x14ac:dyDescent="0.25"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  <c r="AA583" s="96"/>
      <c r="AB583" s="96"/>
      <c r="AC583" s="96"/>
    </row>
    <row r="584" spans="2:29" s="99" customFormat="1" ht="15.75" customHeight="1" x14ac:dyDescent="0.25"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  <c r="AA584" s="96"/>
      <c r="AB584" s="96"/>
      <c r="AC584" s="96"/>
    </row>
    <row r="585" spans="2:29" s="99" customFormat="1" ht="15.75" customHeight="1" x14ac:dyDescent="0.25"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  <c r="AA585" s="96"/>
      <c r="AB585" s="96"/>
      <c r="AC585" s="96"/>
    </row>
    <row r="586" spans="2:29" s="99" customFormat="1" ht="15.75" customHeight="1" x14ac:dyDescent="0.25"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  <c r="AA586" s="96"/>
      <c r="AB586" s="96"/>
      <c r="AC586" s="96"/>
    </row>
    <row r="587" spans="2:29" s="99" customFormat="1" ht="15.75" customHeight="1" x14ac:dyDescent="0.25"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  <c r="AA587" s="96"/>
      <c r="AB587" s="96"/>
      <c r="AC587" s="96"/>
    </row>
    <row r="588" spans="2:29" s="99" customFormat="1" ht="15.75" customHeight="1" x14ac:dyDescent="0.25"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  <c r="AA588" s="96"/>
      <c r="AB588" s="96"/>
      <c r="AC588" s="96"/>
    </row>
    <row r="589" spans="2:29" s="99" customFormat="1" ht="15.75" customHeight="1" x14ac:dyDescent="0.25"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  <c r="AA589" s="96"/>
      <c r="AB589" s="96"/>
      <c r="AC589" s="96"/>
    </row>
    <row r="590" spans="2:29" s="99" customFormat="1" ht="15.75" customHeight="1" x14ac:dyDescent="0.25"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  <c r="AA590" s="96"/>
      <c r="AB590" s="96"/>
      <c r="AC590" s="96"/>
    </row>
    <row r="591" spans="2:29" s="99" customFormat="1" ht="15.75" customHeight="1" x14ac:dyDescent="0.25"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  <c r="AA591" s="96"/>
      <c r="AB591" s="96"/>
      <c r="AC591" s="96"/>
    </row>
    <row r="592" spans="2:29" s="99" customFormat="1" ht="15.75" customHeight="1" x14ac:dyDescent="0.25"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  <c r="AA592" s="96"/>
      <c r="AB592" s="96"/>
      <c r="AC592" s="96"/>
    </row>
    <row r="593" spans="2:29" s="99" customFormat="1" ht="15.75" customHeight="1" x14ac:dyDescent="0.25"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  <c r="AA593" s="96"/>
      <c r="AB593" s="96"/>
      <c r="AC593" s="96"/>
    </row>
    <row r="594" spans="2:29" s="99" customFormat="1" ht="15.75" customHeight="1" x14ac:dyDescent="0.25"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  <c r="AA594" s="96"/>
      <c r="AB594" s="96"/>
      <c r="AC594" s="96"/>
    </row>
    <row r="595" spans="2:29" s="99" customFormat="1" ht="15.75" customHeight="1" x14ac:dyDescent="0.25"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  <c r="AA595" s="96"/>
      <c r="AB595" s="96"/>
      <c r="AC595" s="96"/>
    </row>
    <row r="596" spans="2:29" s="99" customFormat="1" ht="15.75" customHeight="1" x14ac:dyDescent="0.25"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  <c r="AA596" s="96"/>
      <c r="AB596" s="96"/>
      <c r="AC596" s="96"/>
    </row>
    <row r="597" spans="2:29" s="99" customFormat="1" ht="15.75" customHeight="1" x14ac:dyDescent="0.25"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  <c r="AA597" s="96"/>
      <c r="AB597" s="96"/>
      <c r="AC597" s="96"/>
    </row>
    <row r="598" spans="2:29" s="99" customFormat="1" ht="15.75" customHeight="1" x14ac:dyDescent="0.25"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  <c r="AA598" s="96"/>
      <c r="AB598" s="96"/>
      <c r="AC598" s="96"/>
    </row>
    <row r="599" spans="2:29" s="99" customFormat="1" ht="15.75" customHeight="1" x14ac:dyDescent="0.25"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  <c r="AA599" s="96"/>
      <c r="AB599" s="96"/>
      <c r="AC599" s="96"/>
    </row>
    <row r="600" spans="2:29" s="99" customFormat="1" ht="15.75" customHeight="1" x14ac:dyDescent="0.25"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  <c r="AA600" s="96"/>
      <c r="AB600" s="96"/>
      <c r="AC600" s="96"/>
    </row>
    <row r="601" spans="2:29" s="99" customFormat="1" ht="15.75" customHeight="1" x14ac:dyDescent="0.25"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  <c r="AA601" s="96"/>
      <c r="AB601" s="96"/>
      <c r="AC601" s="96"/>
    </row>
    <row r="602" spans="2:29" s="99" customFormat="1" ht="15.75" customHeight="1" x14ac:dyDescent="0.25"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  <c r="AA602" s="96"/>
      <c r="AB602" s="96"/>
      <c r="AC602" s="96"/>
    </row>
    <row r="603" spans="2:29" s="99" customFormat="1" ht="15.75" customHeight="1" x14ac:dyDescent="0.25"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  <c r="AA603" s="96"/>
      <c r="AB603" s="96"/>
      <c r="AC603" s="96"/>
    </row>
    <row r="604" spans="2:29" s="99" customFormat="1" ht="15.75" customHeight="1" x14ac:dyDescent="0.25"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  <c r="AA604" s="96"/>
      <c r="AB604" s="96"/>
      <c r="AC604" s="96"/>
    </row>
    <row r="605" spans="2:29" s="99" customFormat="1" ht="15.75" customHeight="1" x14ac:dyDescent="0.25"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  <c r="AA605" s="96"/>
      <c r="AB605" s="96"/>
      <c r="AC605" s="96"/>
    </row>
    <row r="606" spans="2:29" s="99" customFormat="1" ht="15.75" customHeight="1" x14ac:dyDescent="0.25"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  <c r="AA606" s="96"/>
      <c r="AB606" s="96"/>
      <c r="AC606" s="96"/>
    </row>
    <row r="607" spans="2:29" s="99" customFormat="1" ht="15.75" customHeight="1" x14ac:dyDescent="0.25"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  <c r="AA607" s="96"/>
      <c r="AB607" s="96"/>
      <c r="AC607" s="96"/>
    </row>
    <row r="608" spans="2:29" s="99" customFormat="1" ht="15.75" customHeight="1" x14ac:dyDescent="0.25"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  <c r="AA608" s="96"/>
      <c r="AB608" s="96"/>
      <c r="AC608" s="96"/>
    </row>
    <row r="609" spans="2:29" s="99" customFormat="1" ht="15.75" customHeight="1" x14ac:dyDescent="0.25"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  <c r="AA609" s="96"/>
      <c r="AB609" s="96"/>
      <c r="AC609" s="96"/>
    </row>
    <row r="610" spans="2:29" s="99" customFormat="1" ht="15.75" customHeight="1" x14ac:dyDescent="0.25"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  <c r="AA610" s="96"/>
      <c r="AB610" s="96"/>
      <c r="AC610" s="96"/>
    </row>
    <row r="611" spans="2:29" s="99" customFormat="1" ht="15.75" customHeight="1" x14ac:dyDescent="0.25"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  <c r="AA611" s="96"/>
      <c r="AB611" s="96"/>
      <c r="AC611" s="96"/>
    </row>
    <row r="612" spans="2:29" s="99" customFormat="1" ht="15.75" customHeight="1" x14ac:dyDescent="0.25"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  <c r="AA612" s="96"/>
      <c r="AB612" s="96"/>
      <c r="AC612" s="96"/>
    </row>
    <row r="613" spans="2:29" s="99" customFormat="1" ht="15.75" customHeight="1" x14ac:dyDescent="0.25"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  <c r="AA613" s="96"/>
      <c r="AB613" s="96"/>
      <c r="AC613" s="96"/>
    </row>
    <row r="614" spans="2:29" s="99" customFormat="1" ht="15.75" customHeight="1" x14ac:dyDescent="0.25"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  <c r="AA614" s="96"/>
      <c r="AB614" s="96"/>
      <c r="AC614" s="96"/>
    </row>
    <row r="615" spans="2:29" s="99" customFormat="1" ht="15.75" customHeight="1" x14ac:dyDescent="0.25"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  <c r="AA615" s="96"/>
      <c r="AB615" s="96"/>
      <c r="AC615" s="96"/>
    </row>
    <row r="616" spans="2:29" s="99" customFormat="1" ht="15.75" customHeight="1" x14ac:dyDescent="0.25"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  <c r="AA616" s="96"/>
      <c r="AB616" s="96"/>
      <c r="AC616" s="96"/>
    </row>
    <row r="617" spans="2:29" s="99" customFormat="1" ht="15.75" customHeight="1" x14ac:dyDescent="0.25"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  <c r="AA617" s="96"/>
      <c r="AB617" s="96"/>
      <c r="AC617" s="96"/>
    </row>
    <row r="618" spans="2:29" s="99" customFormat="1" ht="15.75" customHeight="1" x14ac:dyDescent="0.25"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  <c r="AA618" s="96"/>
      <c r="AB618" s="96"/>
      <c r="AC618" s="96"/>
    </row>
    <row r="619" spans="2:29" s="99" customFormat="1" ht="15.75" customHeight="1" x14ac:dyDescent="0.25"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  <c r="AA619" s="96"/>
      <c r="AB619" s="96"/>
      <c r="AC619" s="96"/>
    </row>
    <row r="620" spans="2:29" s="99" customFormat="1" ht="15.75" customHeight="1" x14ac:dyDescent="0.25"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  <c r="AA620" s="96"/>
      <c r="AB620" s="96"/>
      <c r="AC620" s="96"/>
    </row>
    <row r="621" spans="2:29" s="99" customFormat="1" ht="15.75" customHeight="1" x14ac:dyDescent="0.25"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  <c r="AA621" s="96"/>
      <c r="AB621" s="96"/>
      <c r="AC621" s="96"/>
    </row>
    <row r="622" spans="2:29" s="99" customFormat="1" ht="15.75" customHeight="1" x14ac:dyDescent="0.25"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  <c r="AA622" s="96"/>
      <c r="AB622" s="96"/>
      <c r="AC622" s="96"/>
    </row>
    <row r="623" spans="2:29" s="99" customFormat="1" ht="15.75" customHeight="1" x14ac:dyDescent="0.25"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  <c r="AA623" s="96"/>
      <c r="AB623" s="96"/>
      <c r="AC623" s="96"/>
    </row>
    <row r="624" spans="2:29" s="99" customFormat="1" ht="15.75" customHeight="1" x14ac:dyDescent="0.25"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  <c r="AA624" s="96"/>
      <c r="AB624" s="96"/>
      <c r="AC624" s="96"/>
    </row>
    <row r="625" spans="2:29" s="99" customFormat="1" ht="15.75" customHeight="1" x14ac:dyDescent="0.25"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  <c r="AA625" s="96"/>
      <c r="AB625" s="96"/>
      <c r="AC625" s="96"/>
    </row>
    <row r="626" spans="2:29" s="99" customFormat="1" ht="15.75" customHeight="1" x14ac:dyDescent="0.25"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  <c r="AA626" s="96"/>
      <c r="AB626" s="96"/>
      <c r="AC626" s="96"/>
    </row>
    <row r="627" spans="2:29" s="99" customFormat="1" ht="15.75" customHeight="1" x14ac:dyDescent="0.25"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  <c r="AA627" s="96"/>
      <c r="AB627" s="96"/>
      <c r="AC627" s="96"/>
    </row>
    <row r="628" spans="2:29" s="99" customFormat="1" ht="15.75" customHeight="1" x14ac:dyDescent="0.25"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  <c r="AA628" s="96"/>
      <c r="AB628" s="96"/>
      <c r="AC628" s="96"/>
    </row>
    <row r="629" spans="2:29" s="99" customFormat="1" ht="15.75" customHeight="1" x14ac:dyDescent="0.25"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  <c r="AA629" s="96"/>
      <c r="AB629" s="96"/>
      <c r="AC629" s="96"/>
    </row>
    <row r="630" spans="2:29" s="99" customFormat="1" ht="15.75" customHeight="1" x14ac:dyDescent="0.25"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  <c r="AA630" s="96"/>
      <c r="AB630" s="96"/>
      <c r="AC630" s="96"/>
    </row>
    <row r="631" spans="2:29" s="99" customFormat="1" ht="15.75" customHeight="1" x14ac:dyDescent="0.25"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  <c r="AA631" s="96"/>
      <c r="AB631" s="96"/>
      <c r="AC631" s="96"/>
    </row>
    <row r="632" spans="2:29" s="99" customFormat="1" ht="15.75" customHeight="1" x14ac:dyDescent="0.25"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  <c r="AA632" s="96"/>
      <c r="AB632" s="96"/>
      <c r="AC632" s="96"/>
    </row>
    <row r="633" spans="2:29" s="99" customFormat="1" ht="15.75" customHeight="1" x14ac:dyDescent="0.25"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  <c r="AA633" s="96"/>
      <c r="AB633" s="96"/>
      <c r="AC633" s="96"/>
    </row>
    <row r="634" spans="2:29" s="99" customFormat="1" ht="15.75" customHeight="1" x14ac:dyDescent="0.25"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  <c r="AA634" s="96"/>
      <c r="AB634" s="96"/>
      <c r="AC634" s="96"/>
    </row>
    <row r="635" spans="2:29" s="99" customFormat="1" ht="15.75" customHeight="1" x14ac:dyDescent="0.25"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  <c r="AA635" s="96"/>
      <c r="AB635" s="96"/>
      <c r="AC635" s="96"/>
    </row>
    <row r="636" spans="2:29" s="99" customFormat="1" ht="15.75" customHeight="1" x14ac:dyDescent="0.25"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  <c r="AA636" s="96"/>
      <c r="AB636" s="96"/>
      <c r="AC636" s="96"/>
    </row>
    <row r="637" spans="2:29" s="99" customFormat="1" ht="15.75" customHeight="1" x14ac:dyDescent="0.25"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  <c r="AA637" s="96"/>
      <c r="AB637" s="96"/>
      <c r="AC637" s="96"/>
    </row>
    <row r="638" spans="2:29" s="99" customFormat="1" ht="15.75" customHeight="1" x14ac:dyDescent="0.25"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  <c r="AA638" s="96"/>
      <c r="AB638" s="96"/>
      <c r="AC638" s="96"/>
    </row>
    <row r="639" spans="2:29" s="99" customFormat="1" ht="15.75" customHeight="1" x14ac:dyDescent="0.25"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  <c r="AA639" s="96"/>
      <c r="AB639" s="96"/>
      <c r="AC639" s="96"/>
    </row>
    <row r="640" spans="2:29" s="99" customFormat="1" ht="15.75" customHeight="1" x14ac:dyDescent="0.25"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  <c r="AA640" s="96"/>
      <c r="AB640" s="96"/>
      <c r="AC640" s="96"/>
    </row>
    <row r="641" spans="2:29" s="99" customFormat="1" ht="15.75" customHeight="1" x14ac:dyDescent="0.25"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  <c r="AA641" s="96"/>
      <c r="AB641" s="96"/>
      <c r="AC641" s="96"/>
    </row>
    <row r="642" spans="2:29" s="99" customFormat="1" ht="15.75" customHeight="1" x14ac:dyDescent="0.25"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  <c r="AA642" s="96"/>
      <c r="AB642" s="96"/>
      <c r="AC642" s="96"/>
    </row>
    <row r="643" spans="2:29" s="99" customFormat="1" ht="15.75" customHeight="1" x14ac:dyDescent="0.25"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  <c r="AA643" s="96"/>
      <c r="AB643" s="96"/>
      <c r="AC643" s="96"/>
    </row>
    <row r="644" spans="2:29" s="99" customFormat="1" ht="15.75" customHeight="1" x14ac:dyDescent="0.25"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  <c r="AA644" s="96"/>
      <c r="AB644" s="96"/>
      <c r="AC644" s="96"/>
    </row>
    <row r="645" spans="2:29" s="99" customFormat="1" ht="15.75" customHeight="1" x14ac:dyDescent="0.25"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  <c r="AA645" s="96"/>
      <c r="AB645" s="96"/>
      <c r="AC645" s="96"/>
    </row>
    <row r="646" spans="2:29" s="99" customFormat="1" ht="15.75" customHeight="1" x14ac:dyDescent="0.25"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  <c r="AA646" s="96"/>
      <c r="AB646" s="96"/>
      <c r="AC646" s="96"/>
    </row>
    <row r="647" spans="2:29" s="99" customFormat="1" ht="15.75" customHeight="1" x14ac:dyDescent="0.25"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  <c r="AA647" s="96"/>
      <c r="AB647" s="96"/>
      <c r="AC647" s="96"/>
    </row>
    <row r="648" spans="2:29" s="99" customFormat="1" ht="15.75" customHeight="1" x14ac:dyDescent="0.25"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  <c r="AA648" s="96"/>
      <c r="AB648" s="96"/>
      <c r="AC648" s="96"/>
    </row>
    <row r="649" spans="2:29" s="99" customFormat="1" ht="15.75" customHeight="1" x14ac:dyDescent="0.25"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  <c r="AA649" s="96"/>
      <c r="AB649" s="96"/>
      <c r="AC649" s="96"/>
    </row>
    <row r="650" spans="2:29" s="99" customFormat="1" ht="15.75" customHeight="1" x14ac:dyDescent="0.25"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  <c r="AA650" s="96"/>
      <c r="AB650" s="96"/>
      <c r="AC650" s="96"/>
    </row>
    <row r="651" spans="2:29" s="99" customFormat="1" ht="15.75" customHeight="1" x14ac:dyDescent="0.25"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  <c r="AA651" s="96"/>
      <c r="AB651" s="96"/>
      <c r="AC651" s="96"/>
    </row>
    <row r="652" spans="2:29" s="99" customFormat="1" ht="15.75" customHeight="1" x14ac:dyDescent="0.25"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  <c r="AA652" s="96"/>
      <c r="AB652" s="96"/>
      <c r="AC652" s="96"/>
    </row>
    <row r="653" spans="2:29" s="99" customFormat="1" ht="15.75" customHeight="1" x14ac:dyDescent="0.25"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  <c r="AA653" s="96"/>
      <c r="AB653" s="96"/>
      <c r="AC653" s="96"/>
    </row>
    <row r="654" spans="2:29" s="99" customFormat="1" ht="15.75" customHeight="1" x14ac:dyDescent="0.25"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  <c r="AA654" s="96"/>
      <c r="AB654" s="96"/>
      <c r="AC654" s="96"/>
    </row>
    <row r="655" spans="2:29" s="99" customFormat="1" ht="15.75" customHeight="1" x14ac:dyDescent="0.25"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  <c r="AA655" s="96"/>
      <c r="AB655" s="96"/>
      <c r="AC655" s="96"/>
    </row>
    <row r="656" spans="2:29" s="99" customFormat="1" ht="15.75" customHeight="1" x14ac:dyDescent="0.25"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  <c r="AA656" s="96"/>
      <c r="AB656" s="96"/>
      <c r="AC656" s="96"/>
    </row>
    <row r="657" spans="2:29" s="99" customFormat="1" ht="15.75" customHeight="1" x14ac:dyDescent="0.25"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  <c r="AA657" s="96"/>
      <c r="AB657" s="96"/>
      <c r="AC657" s="96"/>
    </row>
    <row r="658" spans="2:29" s="99" customFormat="1" ht="15.75" customHeight="1" x14ac:dyDescent="0.25"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  <c r="AA658" s="96"/>
      <c r="AB658" s="96"/>
      <c r="AC658" s="96"/>
    </row>
    <row r="659" spans="2:29" s="99" customFormat="1" ht="15.75" customHeight="1" x14ac:dyDescent="0.25"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  <c r="AA659" s="96"/>
      <c r="AB659" s="96"/>
      <c r="AC659" s="96"/>
    </row>
    <row r="660" spans="2:29" s="99" customFormat="1" ht="15.75" customHeight="1" x14ac:dyDescent="0.25"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  <c r="AA660" s="96"/>
      <c r="AB660" s="96"/>
      <c r="AC660" s="96"/>
    </row>
    <row r="661" spans="2:29" s="99" customFormat="1" ht="15.75" customHeight="1" x14ac:dyDescent="0.25"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  <c r="AA661" s="96"/>
      <c r="AB661" s="96"/>
      <c r="AC661" s="96"/>
    </row>
    <row r="662" spans="2:29" s="99" customFormat="1" ht="15.75" customHeight="1" x14ac:dyDescent="0.25"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  <c r="AA662" s="96"/>
      <c r="AB662" s="96"/>
      <c r="AC662" s="96"/>
    </row>
    <row r="663" spans="2:29" s="99" customFormat="1" ht="15.75" customHeight="1" x14ac:dyDescent="0.25"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  <c r="AA663" s="96"/>
      <c r="AB663" s="96"/>
      <c r="AC663" s="96"/>
    </row>
    <row r="664" spans="2:29" s="99" customFormat="1" ht="15.75" customHeight="1" x14ac:dyDescent="0.25"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  <c r="AA664" s="96"/>
      <c r="AB664" s="96"/>
      <c r="AC664" s="96"/>
    </row>
    <row r="665" spans="2:29" s="99" customFormat="1" ht="15.75" customHeight="1" x14ac:dyDescent="0.25"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  <c r="AA665" s="96"/>
      <c r="AB665" s="96"/>
      <c r="AC665" s="96"/>
    </row>
    <row r="666" spans="2:29" s="99" customFormat="1" ht="15.75" customHeight="1" x14ac:dyDescent="0.25"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  <c r="AA666" s="96"/>
      <c r="AB666" s="96"/>
      <c r="AC666" s="96"/>
    </row>
    <row r="667" spans="2:29" s="99" customFormat="1" ht="15.75" customHeight="1" x14ac:dyDescent="0.25"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  <c r="AA667" s="96"/>
      <c r="AB667" s="96"/>
      <c r="AC667" s="96"/>
    </row>
    <row r="668" spans="2:29" s="99" customFormat="1" ht="15.75" customHeight="1" x14ac:dyDescent="0.25"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  <c r="AA668" s="96"/>
      <c r="AB668" s="96"/>
      <c r="AC668" s="96"/>
    </row>
    <row r="669" spans="2:29" s="99" customFormat="1" ht="15.75" customHeight="1" x14ac:dyDescent="0.25"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  <c r="AA669" s="96"/>
      <c r="AB669" s="96"/>
      <c r="AC669" s="96"/>
    </row>
    <row r="670" spans="2:29" s="99" customFormat="1" ht="15.75" customHeight="1" x14ac:dyDescent="0.25"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  <c r="AA670" s="96"/>
      <c r="AB670" s="96"/>
      <c r="AC670" s="96"/>
    </row>
    <row r="671" spans="2:29" s="99" customFormat="1" ht="15.75" customHeight="1" x14ac:dyDescent="0.25"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  <c r="AA671" s="96"/>
      <c r="AB671" s="96"/>
      <c r="AC671" s="96"/>
    </row>
    <row r="672" spans="2:29" s="99" customFormat="1" ht="15.75" customHeight="1" x14ac:dyDescent="0.25"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  <c r="AA672" s="96"/>
      <c r="AB672" s="96"/>
      <c r="AC672" s="96"/>
    </row>
    <row r="673" spans="2:29" s="99" customFormat="1" ht="15.75" customHeight="1" x14ac:dyDescent="0.25"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  <c r="AA673" s="96"/>
      <c r="AB673" s="96"/>
      <c r="AC673" s="96"/>
    </row>
    <row r="674" spans="2:29" s="99" customFormat="1" ht="15.75" customHeight="1" x14ac:dyDescent="0.25"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  <c r="AA674" s="96"/>
      <c r="AB674" s="96"/>
      <c r="AC674" s="96"/>
    </row>
    <row r="675" spans="2:29" s="99" customFormat="1" ht="15.75" customHeight="1" x14ac:dyDescent="0.25"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  <c r="AA675" s="96"/>
      <c r="AB675" s="96"/>
      <c r="AC675" s="96"/>
    </row>
    <row r="676" spans="2:29" s="99" customFormat="1" ht="15.75" customHeight="1" x14ac:dyDescent="0.25"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  <c r="AA676" s="96"/>
      <c r="AB676" s="96"/>
      <c r="AC676" s="96"/>
    </row>
    <row r="677" spans="2:29" s="99" customFormat="1" ht="15.75" customHeight="1" x14ac:dyDescent="0.25"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  <c r="AA677" s="96"/>
      <c r="AB677" s="96"/>
      <c r="AC677" s="96"/>
    </row>
    <row r="678" spans="2:29" s="99" customFormat="1" ht="15.75" customHeight="1" x14ac:dyDescent="0.25"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  <c r="AA678" s="96"/>
      <c r="AB678" s="96"/>
      <c r="AC678" s="96"/>
    </row>
    <row r="679" spans="2:29" s="99" customFormat="1" ht="15.75" customHeight="1" x14ac:dyDescent="0.25"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  <c r="AA679" s="96"/>
      <c r="AB679" s="96"/>
      <c r="AC679" s="96"/>
    </row>
    <row r="680" spans="2:29" s="99" customFormat="1" ht="15.75" customHeight="1" x14ac:dyDescent="0.25"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  <c r="AA680" s="96"/>
      <c r="AB680" s="96"/>
      <c r="AC680" s="96"/>
    </row>
    <row r="681" spans="2:29" s="99" customFormat="1" ht="15.75" customHeight="1" x14ac:dyDescent="0.25"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  <c r="AA681" s="96"/>
      <c r="AB681" s="96"/>
      <c r="AC681" s="96"/>
    </row>
    <row r="682" spans="2:29" s="99" customFormat="1" ht="15.75" customHeight="1" x14ac:dyDescent="0.25"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  <c r="AA682" s="96"/>
      <c r="AB682" s="96"/>
      <c r="AC682" s="96"/>
    </row>
    <row r="683" spans="2:29" s="99" customFormat="1" ht="15.75" customHeight="1" x14ac:dyDescent="0.25"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  <c r="AA683" s="96"/>
      <c r="AB683" s="96"/>
      <c r="AC683" s="96"/>
    </row>
    <row r="684" spans="2:29" s="99" customFormat="1" ht="15.75" customHeight="1" x14ac:dyDescent="0.25"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  <c r="AA684" s="96"/>
      <c r="AB684" s="96"/>
      <c r="AC684" s="96"/>
    </row>
    <row r="685" spans="2:29" s="99" customFormat="1" ht="15.75" customHeight="1" x14ac:dyDescent="0.25"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  <c r="AA685" s="96"/>
      <c r="AB685" s="96"/>
      <c r="AC685" s="96"/>
    </row>
    <row r="686" spans="2:29" s="99" customFormat="1" ht="15.75" customHeight="1" x14ac:dyDescent="0.25"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  <c r="AA686" s="96"/>
      <c r="AB686" s="96"/>
      <c r="AC686" s="96"/>
    </row>
    <row r="687" spans="2:29" s="99" customFormat="1" ht="15.75" customHeight="1" x14ac:dyDescent="0.25"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  <c r="AA687" s="96"/>
      <c r="AB687" s="96"/>
      <c r="AC687" s="96"/>
    </row>
    <row r="688" spans="2:29" s="99" customFormat="1" ht="15.75" customHeight="1" x14ac:dyDescent="0.25"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  <c r="AA688" s="96"/>
      <c r="AB688" s="96"/>
      <c r="AC688" s="96"/>
    </row>
    <row r="689" spans="2:29" s="99" customFormat="1" ht="15.75" customHeight="1" x14ac:dyDescent="0.25"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  <c r="AA689" s="96"/>
      <c r="AB689" s="96"/>
      <c r="AC689" s="96"/>
    </row>
    <row r="690" spans="2:29" s="99" customFormat="1" ht="15.75" customHeight="1" x14ac:dyDescent="0.25"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  <c r="AA690" s="96"/>
      <c r="AB690" s="96"/>
      <c r="AC690" s="96"/>
    </row>
    <row r="691" spans="2:29" s="99" customFormat="1" ht="15.75" customHeight="1" x14ac:dyDescent="0.25"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  <c r="AA691" s="96"/>
      <c r="AB691" s="96"/>
      <c r="AC691" s="96"/>
    </row>
    <row r="692" spans="2:29" s="99" customFormat="1" ht="15.75" customHeight="1" x14ac:dyDescent="0.25"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  <c r="AA692" s="96"/>
      <c r="AB692" s="96"/>
      <c r="AC692" s="96"/>
    </row>
    <row r="693" spans="2:29" s="99" customFormat="1" ht="15.75" customHeight="1" x14ac:dyDescent="0.25"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  <c r="AA693" s="96"/>
      <c r="AB693" s="96"/>
      <c r="AC693" s="96"/>
    </row>
    <row r="694" spans="2:29" s="99" customFormat="1" ht="15.75" customHeight="1" x14ac:dyDescent="0.25"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  <c r="AA694" s="96"/>
      <c r="AB694" s="96"/>
      <c r="AC694" s="96"/>
    </row>
    <row r="695" spans="2:29" s="99" customFormat="1" ht="15.75" customHeight="1" x14ac:dyDescent="0.25"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  <c r="AA695" s="96"/>
      <c r="AB695" s="96"/>
      <c r="AC695" s="96"/>
    </row>
    <row r="696" spans="2:29" s="99" customFormat="1" ht="15.75" customHeight="1" x14ac:dyDescent="0.25"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  <c r="AA696" s="96"/>
      <c r="AB696" s="96"/>
      <c r="AC696" s="96"/>
    </row>
    <row r="697" spans="2:29" s="99" customFormat="1" ht="15.75" customHeight="1" x14ac:dyDescent="0.25"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  <c r="AA697" s="96"/>
      <c r="AB697" s="96"/>
      <c r="AC697" s="96"/>
    </row>
    <row r="698" spans="2:29" s="99" customFormat="1" ht="15.75" customHeight="1" x14ac:dyDescent="0.25"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  <c r="AA698" s="96"/>
      <c r="AB698" s="96"/>
      <c r="AC698" s="96"/>
    </row>
    <row r="699" spans="2:29" s="99" customFormat="1" ht="15.75" customHeight="1" x14ac:dyDescent="0.25"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  <c r="AA699" s="96"/>
      <c r="AB699" s="96"/>
      <c r="AC699" s="96"/>
    </row>
    <row r="700" spans="2:29" s="99" customFormat="1" ht="15.75" customHeight="1" x14ac:dyDescent="0.25"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  <c r="AA700" s="96"/>
      <c r="AB700" s="96"/>
      <c r="AC700" s="96"/>
    </row>
    <row r="701" spans="2:29" s="99" customFormat="1" ht="15.75" customHeight="1" x14ac:dyDescent="0.25"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  <c r="AA701" s="96"/>
      <c r="AB701" s="96"/>
      <c r="AC701" s="96"/>
    </row>
    <row r="702" spans="2:29" s="99" customFormat="1" ht="15.75" customHeight="1" x14ac:dyDescent="0.25"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  <c r="AA702" s="96"/>
      <c r="AB702" s="96"/>
      <c r="AC702" s="96"/>
    </row>
    <row r="703" spans="2:29" s="99" customFormat="1" ht="15.75" customHeight="1" x14ac:dyDescent="0.25"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  <c r="AA703" s="96"/>
      <c r="AB703" s="96"/>
      <c r="AC703" s="96"/>
    </row>
    <row r="704" spans="2:29" s="99" customFormat="1" ht="15.75" customHeight="1" x14ac:dyDescent="0.25"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  <c r="AA704" s="96"/>
      <c r="AB704" s="96"/>
      <c r="AC704" s="96"/>
    </row>
    <row r="705" spans="2:29" s="99" customFormat="1" ht="15.75" customHeight="1" x14ac:dyDescent="0.25"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  <c r="AA705" s="96"/>
      <c r="AB705" s="96"/>
      <c r="AC705" s="96"/>
    </row>
    <row r="706" spans="2:29" s="99" customFormat="1" ht="15.75" customHeight="1" x14ac:dyDescent="0.25"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  <c r="AA706" s="96"/>
      <c r="AB706" s="96"/>
      <c r="AC706" s="96"/>
    </row>
    <row r="707" spans="2:29" s="99" customFormat="1" ht="15.75" customHeight="1" x14ac:dyDescent="0.25"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  <c r="AA707" s="96"/>
      <c r="AB707" s="96"/>
      <c r="AC707" s="96"/>
    </row>
    <row r="708" spans="2:29" s="99" customFormat="1" ht="15.75" customHeight="1" x14ac:dyDescent="0.25"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  <c r="AA708" s="96"/>
      <c r="AB708" s="96"/>
      <c r="AC708" s="96"/>
    </row>
    <row r="709" spans="2:29" s="99" customFormat="1" ht="15.75" customHeight="1" x14ac:dyDescent="0.25"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  <c r="AA709" s="96"/>
      <c r="AB709" s="96"/>
      <c r="AC709" s="96"/>
    </row>
    <row r="710" spans="2:29" s="99" customFormat="1" ht="15.75" customHeight="1" x14ac:dyDescent="0.25"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  <c r="AA710" s="96"/>
      <c r="AB710" s="96"/>
      <c r="AC710" s="96"/>
    </row>
    <row r="711" spans="2:29" s="99" customFormat="1" ht="15.75" customHeight="1" x14ac:dyDescent="0.25"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  <c r="AA711" s="96"/>
      <c r="AB711" s="96"/>
      <c r="AC711" s="96"/>
    </row>
    <row r="712" spans="2:29" s="99" customFormat="1" ht="15.75" customHeight="1" x14ac:dyDescent="0.25"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  <c r="AA712" s="96"/>
      <c r="AB712" s="96"/>
      <c r="AC712" s="96"/>
    </row>
    <row r="713" spans="2:29" s="99" customFormat="1" ht="15.75" customHeight="1" x14ac:dyDescent="0.25"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  <c r="AA713" s="96"/>
      <c r="AB713" s="96"/>
      <c r="AC713" s="96"/>
    </row>
    <row r="714" spans="2:29" s="99" customFormat="1" ht="15.75" customHeight="1" x14ac:dyDescent="0.25"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  <c r="AA714" s="96"/>
      <c r="AB714" s="96"/>
      <c r="AC714" s="96"/>
    </row>
    <row r="715" spans="2:29" s="99" customFormat="1" ht="15.75" customHeight="1" x14ac:dyDescent="0.25"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  <c r="AA715" s="96"/>
      <c r="AB715" s="96"/>
      <c r="AC715" s="96"/>
    </row>
    <row r="716" spans="2:29" s="99" customFormat="1" ht="15.75" customHeight="1" x14ac:dyDescent="0.25"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  <c r="AA716" s="96"/>
      <c r="AB716" s="96"/>
      <c r="AC716" s="96"/>
    </row>
    <row r="717" spans="2:29" s="99" customFormat="1" ht="15.75" customHeight="1" x14ac:dyDescent="0.25"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  <c r="AA717" s="96"/>
      <c r="AB717" s="96"/>
      <c r="AC717" s="96"/>
    </row>
    <row r="718" spans="2:29" s="99" customFormat="1" ht="15.75" customHeight="1" x14ac:dyDescent="0.25"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  <c r="AA718" s="96"/>
      <c r="AB718" s="96"/>
      <c r="AC718" s="96"/>
    </row>
    <row r="719" spans="2:29" s="99" customFormat="1" ht="15.75" customHeight="1" x14ac:dyDescent="0.25"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  <c r="AA719" s="96"/>
      <c r="AB719" s="96"/>
      <c r="AC719" s="96"/>
    </row>
    <row r="720" spans="2:29" s="99" customFormat="1" ht="15.75" customHeight="1" x14ac:dyDescent="0.25"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  <c r="AA720" s="96"/>
      <c r="AB720" s="96"/>
      <c r="AC720" s="96"/>
    </row>
    <row r="721" spans="2:29" s="99" customFormat="1" ht="15.75" customHeight="1" x14ac:dyDescent="0.25"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  <c r="AA721" s="96"/>
      <c r="AB721" s="96"/>
      <c r="AC721" s="96"/>
    </row>
    <row r="722" spans="2:29" s="99" customFormat="1" ht="15.75" customHeight="1" x14ac:dyDescent="0.25"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  <c r="AA722" s="96"/>
      <c r="AB722" s="96"/>
      <c r="AC722" s="96"/>
    </row>
    <row r="723" spans="2:29" s="99" customFormat="1" ht="15.75" customHeight="1" x14ac:dyDescent="0.25"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  <c r="AA723" s="96"/>
      <c r="AB723" s="96"/>
      <c r="AC723" s="96"/>
    </row>
    <row r="724" spans="2:29" s="99" customFormat="1" ht="15.75" customHeight="1" x14ac:dyDescent="0.25"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  <c r="AA724" s="96"/>
      <c r="AB724" s="96"/>
      <c r="AC724" s="96"/>
    </row>
    <row r="725" spans="2:29" s="99" customFormat="1" ht="15.75" customHeight="1" x14ac:dyDescent="0.25"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  <c r="AA725" s="96"/>
      <c r="AB725" s="96"/>
      <c r="AC725" s="96"/>
    </row>
    <row r="726" spans="2:29" s="99" customFormat="1" ht="15.75" customHeight="1" x14ac:dyDescent="0.25"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  <c r="AA726" s="96"/>
      <c r="AB726" s="96"/>
      <c r="AC726" s="96"/>
    </row>
    <row r="727" spans="2:29" s="99" customFormat="1" ht="15.75" customHeight="1" x14ac:dyDescent="0.25"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  <c r="AA727" s="96"/>
      <c r="AB727" s="96"/>
      <c r="AC727" s="96"/>
    </row>
    <row r="728" spans="2:29" s="99" customFormat="1" ht="15.75" customHeight="1" x14ac:dyDescent="0.25"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  <c r="AA728" s="96"/>
      <c r="AB728" s="96"/>
      <c r="AC728" s="96"/>
    </row>
    <row r="729" spans="2:29" s="99" customFormat="1" ht="15.75" customHeight="1" x14ac:dyDescent="0.25"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  <c r="AA729" s="96"/>
      <c r="AB729" s="96"/>
      <c r="AC729" s="96"/>
    </row>
    <row r="730" spans="2:29" s="99" customFormat="1" ht="15.75" customHeight="1" x14ac:dyDescent="0.25"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  <c r="AA730" s="96"/>
      <c r="AB730" s="96"/>
      <c r="AC730" s="96"/>
    </row>
    <row r="731" spans="2:29" s="99" customFormat="1" ht="15.75" customHeight="1" x14ac:dyDescent="0.25"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  <c r="AA731" s="96"/>
      <c r="AB731" s="96"/>
      <c r="AC731" s="96"/>
    </row>
    <row r="732" spans="2:29" s="99" customFormat="1" ht="15.75" customHeight="1" x14ac:dyDescent="0.25"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  <c r="AA732" s="96"/>
      <c r="AB732" s="96"/>
      <c r="AC732" s="96"/>
    </row>
    <row r="733" spans="2:29" s="99" customFormat="1" ht="15.75" customHeight="1" x14ac:dyDescent="0.25"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  <c r="AA733" s="96"/>
      <c r="AB733" s="96"/>
      <c r="AC733" s="96"/>
    </row>
    <row r="734" spans="2:29" s="99" customFormat="1" ht="15.75" customHeight="1" x14ac:dyDescent="0.25"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  <c r="AA734" s="96"/>
      <c r="AB734" s="96"/>
      <c r="AC734" s="96"/>
    </row>
    <row r="735" spans="2:29" s="99" customFormat="1" ht="15.75" customHeight="1" x14ac:dyDescent="0.25"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  <c r="AA735" s="96"/>
      <c r="AB735" s="96"/>
      <c r="AC735" s="96"/>
    </row>
    <row r="736" spans="2:29" s="99" customFormat="1" ht="15.75" customHeight="1" x14ac:dyDescent="0.25"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  <c r="AA736" s="96"/>
      <c r="AB736" s="96"/>
      <c r="AC736" s="96"/>
    </row>
    <row r="737" spans="2:29" s="99" customFormat="1" ht="15.75" customHeight="1" x14ac:dyDescent="0.25"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  <c r="AA737" s="96"/>
      <c r="AB737" s="96"/>
      <c r="AC737" s="96"/>
    </row>
    <row r="738" spans="2:29" s="99" customFormat="1" ht="15.75" customHeight="1" x14ac:dyDescent="0.25"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  <c r="AA738" s="96"/>
      <c r="AB738" s="96"/>
      <c r="AC738" s="96"/>
    </row>
    <row r="739" spans="2:29" s="99" customFormat="1" ht="15.75" customHeight="1" x14ac:dyDescent="0.25"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  <c r="AA739" s="96"/>
      <c r="AB739" s="96"/>
      <c r="AC739" s="96"/>
    </row>
    <row r="740" spans="2:29" s="99" customFormat="1" ht="15.75" customHeight="1" x14ac:dyDescent="0.25"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  <c r="AA740" s="96"/>
      <c r="AB740" s="96"/>
      <c r="AC740" s="96"/>
    </row>
    <row r="741" spans="2:29" s="99" customFormat="1" ht="15.75" customHeight="1" x14ac:dyDescent="0.25"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  <c r="AA741" s="96"/>
      <c r="AB741" s="96"/>
      <c r="AC741" s="96"/>
    </row>
    <row r="742" spans="2:29" s="99" customFormat="1" ht="15.75" customHeight="1" x14ac:dyDescent="0.25"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  <c r="AA742" s="96"/>
      <c r="AB742" s="96"/>
      <c r="AC742" s="96"/>
    </row>
    <row r="743" spans="2:29" s="99" customFormat="1" ht="15.75" customHeight="1" x14ac:dyDescent="0.25"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  <c r="AA743" s="96"/>
      <c r="AB743" s="96"/>
      <c r="AC743" s="96"/>
    </row>
    <row r="744" spans="2:29" s="99" customFormat="1" ht="15.75" customHeight="1" x14ac:dyDescent="0.25"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  <c r="AA744" s="96"/>
      <c r="AB744" s="96"/>
      <c r="AC744" s="96"/>
    </row>
    <row r="745" spans="2:29" s="99" customFormat="1" ht="15.75" customHeight="1" x14ac:dyDescent="0.25"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  <c r="AA745" s="96"/>
      <c r="AB745" s="96"/>
      <c r="AC745" s="96"/>
    </row>
    <row r="746" spans="2:29" s="99" customFormat="1" ht="15.75" customHeight="1" x14ac:dyDescent="0.25"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  <c r="AA746" s="96"/>
      <c r="AB746" s="96"/>
      <c r="AC746" s="96"/>
    </row>
    <row r="747" spans="2:29" s="99" customFormat="1" ht="15.75" customHeight="1" x14ac:dyDescent="0.25"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  <c r="AA747" s="96"/>
      <c r="AB747" s="96"/>
      <c r="AC747" s="96"/>
    </row>
    <row r="748" spans="2:29" s="99" customFormat="1" ht="15.75" customHeight="1" x14ac:dyDescent="0.25"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  <c r="AA748" s="96"/>
      <c r="AB748" s="96"/>
      <c r="AC748" s="96"/>
    </row>
    <row r="749" spans="2:29" s="99" customFormat="1" ht="15.75" customHeight="1" x14ac:dyDescent="0.25"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  <c r="AA749" s="96"/>
      <c r="AB749" s="96"/>
      <c r="AC749" s="96"/>
    </row>
    <row r="750" spans="2:29" s="99" customFormat="1" ht="15.75" customHeight="1" x14ac:dyDescent="0.25"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  <c r="AA750" s="96"/>
      <c r="AB750" s="96"/>
      <c r="AC750" s="96"/>
    </row>
    <row r="751" spans="2:29" s="99" customFormat="1" ht="15.75" customHeight="1" x14ac:dyDescent="0.25"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  <c r="AA751" s="96"/>
      <c r="AB751" s="96"/>
      <c r="AC751" s="96"/>
    </row>
    <row r="752" spans="2:29" s="99" customFormat="1" ht="15.75" customHeight="1" x14ac:dyDescent="0.25"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  <c r="AA752" s="96"/>
      <c r="AB752" s="96"/>
      <c r="AC752" s="96"/>
    </row>
    <row r="753" spans="2:29" s="99" customFormat="1" ht="15.75" customHeight="1" x14ac:dyDescent="0.25"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  <c r="AA753" s="96"/>
      <c r="AB753" s="96"/>
      <c r="AC753" s="96"/>
    </row>
    <row r="754" spans="2:29" s="99" customFormat="1" ht="15.75" customHeight="1" x14ac:dyDescent="0.25"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  <c r="AA754" s="96"/>
      <c r="AB754" s="96"/>
      <c r="AC754" s="96"/>
    </row>
    <row r="755" spans="2:29" s="99" customFormat="1" ht="15.75" customHeight="1" x14ac:dyDescent="0.25"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  <c r="AA755" s="96"/>
      <c r="AB755" s="96"/>
      <c r="AC755" s="96"/>
    </row>
    <row r="756" spans="2:29" s="99" customFormat="1" ht="15.75" customHeight="1" x14ac:dyDescent="0.25"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  <c r="AA756" s="96"/>
      <c r="AB756" s="96"/>
      <c r="AC756" s="96"/>
    </row>
    <row r="757" spans="2:29" s="99" customFormat="1" ht="15.75" customHeight="1" x14ac:dyDescent="0.25"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  <c r="AA757" s="96"/>
      <c r="AB757" s="96"/>
      <c r="AC757" s="96"/>
    </row>
    <row r="758" spans="2:29" s="99" customFormat="1" ht="15.75" customHeight="1" x14ac:dyDescent="0.25"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  <c r="AA758" s="96"/>
      <c r="AB758" s="96"/>
      <c r="AC758" s="96"/>
    </row>
    <row r="759" spans="2:29" s="99" customFormat="1" ht="15.75" customHeight="1" x14ac:dyDescent="0.25"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  <c r="AA759" s="96"/>
      <c r="AB759" s="96"/>
      <c r="AC759" s="96"/>
    </row>
    <row r="760" spans="2:29" s="99" customFormat="1" ht="15.75" customHeight="1" x14ac:dyDescent="0.25"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  <c r="AA760" s="96"/>
      <c r="AB760" s="96"/>
      <c r="AC760" s="96"/>
    </row>
    <row r="761" spans="2:29" s="99" customFormat="1" ht="15.75" customHeight="1" x14ac:dyDescent="0.25"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  <c r="AA761" s="96"/>
      <c r="AB761" s="96"/>
      <c r="AC761" s="96"/>
    </row>
    <row r="762" spans="2:29" s="99" customFormat="1" ht="15.75" customHeight="1" x14ac:dyDescent="0.25"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  <c r="AA762" s="96"/>
      <c r="AB762" s="96"/>
      <c r="AC762" s="96"/>
    </row>
    <row r="763" spans="2:29" s="99" customFormat="1" ht="15.75" customHeight="1" x14ac:dyDescent="0.25"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  <c r="AA763" s="96"/>
      <c r="AB763" s="96"/>
      <c r="AC763" s="96"/>
    </row>
    <row r="764" spans="2:29" s="99" customFormat="1" ht="15.75" customHeight="1" x14ac:dyDescent="0.25"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  <c r="AA764" s="96"/>
      <c r="AB764" s="96"/>
      <c r="AC764" s="96"/>
    </row>
    <row r="765" spans="2:29" s="99" customFormat="1" ht="15.75" customHeight="1" x14ac:dyDescent="0.25"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  <c r="AA765" s="96"/>
      <c r="AB765" s="96"/>
      <c r="AC765" s="96"/>
    </row>
    <row r="766" spans="2:29" s="99" customFormat="1" ht="15.75" customHeight="1" x14ac:dyDescent="0.25"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  <c r="AA766" s="96"/>
      <c r="AB766" s="96"/>
      <c r="AC766" s="96"/>
    </row>
    <row r="767" spans="2:29" s="99" customFormat="1" ht="15.75" customHeight="1" x14ac:dyDescent="0.25"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  <c r="AA767" s="96"/>
      <c r="AB767" s="96"/>
      <c r="AC767" s="96"/>
    </row>
    <row r="768" spans="2:29" s="99" customFormat="1" ht="15.75" customHeight="1" x14ac:dyDescent="0.25"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  <c r="AA768" s="96"/>
      <c r="AB768" s="96"/>
      <c r="AC768" s="96"/>
    </row>
    <row r="769" spans="2:29" s="99" customFormat="1" ht="15.75" customHeight="1" x14ac:dyDescent="0.25"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  <c r="AA769" s="96"/>
      <c r="AB769" s="96"/>
      <c r="AC769" s="96"/>
    </row>
    <row r="770" spans="2:29" s="99" customFormat="1" ht="15.75" customHeight="1" x14ac:dyDescent="0.25"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  <c r="AA770" s="96"/>
      <c r="AB770" s="96"/>
      <c r="AC770" s="96"/>
    </row>
    <row r="771" spans="2:29" s="99" customFormat="1" ht="15.75" customHeight="1" x14ac:dyDescent="0.25"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  <c r="AA771" s="96"/>
      <c r="AB771" s="96"/>
      <c r="AC771" s="96"/>
    </row>
    <row r="772" spans="2:29" s="99" customFormat="1" ht="15.75" customHeight="1" x14ac:dyDescent="0.25"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  <c r="AA772" s="96"/>
      <c r="AB772" s="96"/>
      <c r="AC772" s="96"/>
    </row>
    <row r="773" spans="2:29" s="99" customFormat="1" ht="15.75" customHeight="1" x14ac:dyDescent="0.25"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  <c r="AA773" s="96"/>
      <c r="AB773" s="96"/>
      <c r="AC773" s="96"/>
    </row>
    <row r="774" spans="2:29" s="99" customFormat="1" ht="15.75" customHeight="1" x14ac:dyDescent="0.25"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  <c r="AA774" s="96"/>
      <c r="AB774" s="96"/>
      <c r="AC774" s="96"/>
    </row>
    <row r="775" spans="2:29" s="99" customFormat="1" ht="15.75" customHeight="1" x14ac:dyDescent="0.25"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  <c r="AA775" s="96"/>
      <c r="AB775" s="96"/>
      <c r="AC775" s="96"/>
    </row>
    <row r="776" spans="2:29" s="99" customFormat="1" ht="15.75" customHeight="1" x14ac:dyDescent="0.25"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  <c r="AA776" s="96"/>
      <c r="AB776" s="96"/>
      <c r="AC776" s="96"/>
    </row>
    <row r="777" spans="2:29" s="99" customFormat="1" ht="15.75" customHeight="1" x14ac:dyDescent="0.25"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  <c r="AA777" s="96"/>
      <c r="AB777" s="96"/>
      <c r="AC777" s="96"/>
    </row>
    <row r="778" spans="2:29" s="99" customFormat="1" ht="15.75" customHeight="1" x14ac:dyDescent="0.25"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  <c r="AA778" s="96"/>
      <c r="AB778" s="96"/>
      <c r="AC778" s="96"/>
    </row>
    <row r="779" spans="2:29" s="99" customFormat="1" ht="15.75" customHeight="1" x14ac:dyDescent="0.25"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  <c r="AA779" s="96"/>
      <c r="AB779" s="96"/>
      <c r="AC779" s="96"/>
    </row>
    <row r="780" spans="2:29" s="99" customFormat="1" ht="15.75" customHeight="1" x14ac:dyDescent="0.25"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  <c r="AA780" s="96"/>
      <c r="AB780" s="96"/>
      <c r="AC780" s="96"/>
    </row>
    <row r="781" spans="2:29" s="99" customFormat="1" ht="15.75" customHeight="1" x14ac:dyDescent="0.25"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  <c r="AA781" s="96"/>
      <c r="AB781" s="96"/>
      <c r="AC781" s="96"/>
    </row>
    <row r="782" spans="2:29" s="99" customFormat="1" ht="15.75" customHeight="1" x14ac:dyDescent="0.25"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  <c r="AA782" s="96"/>
      <c r="AB782" s="96"/>
      <c r="AC782" s="96"/>
    </row>
    <row r="783" spans="2:29" s="99" customFormat="1" ht="15.75" customHeight="1" x14ac:dyDescent="0.25"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  <c r="AA783" s="96"/>
      <c r="AB783" s="96"/>
      <c r="AC783" s="96"/>
    </row>
    <row r="784" spans="2:29" s="99" customFormat="1" ht="15.75" customHeight="1" x14ac:dyDescent="0.25"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  <c r="AA784" s="96"/>
      <c r="AB784" s="96"/>
      <c r="AC784" s="96"/>
    </row>
    <row r="785" spans="2:29" s="99" customFormat="1" ht="15.75" customHeight="1" x14ac:dyDescent="0.25"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  <c r="AA785" s="96"/>
      <c r="AB785" s="96"/>
      <c r="AC785" s="96"/>
    </row>
    <row r="786" spans="2:29" s="99" customFormat="1" ht="15.75" customHeight="1" x14ac:dyDescent="0.25"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  <c r="AA786" s="96"/>
      <c r="AB786" s="96"/>
      <c r="AC786" s="96"/>
    </row>
    <row r="787" spans="2:29" s="99" customFormat="1" ht="15.75" customHeight="1" x14ac:dyDescent="0.25"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  <c r="AA787" s="96"/>
      <c r="AB787" s="96"/>
      <c r="AC787" s="96"/>
    </row>
    <row r="788" spans="2:29" s="99" customFormat="1" ht="15.75" customHeight="1" x14ac:dyDescent="0.25"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  <c r="AA788" s="96"/>
      <c r="AB788" s="96"/>
      <c r="AC788" s="96"/>
    </row>
    <row r="789" spans="2:29" s="99" customFormat="1" ht="15.75" customHeight="1" x14ac:dyDescent="0.25"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  <c r="AA789" s="96"/>
      <c r="AB789" s="96"/>
      <c r="AC789" s="96"/>
    </row>
    <row r="790" spans="2:29" s="99" customFormat="1" ht="15.75" customHeight="1" x14ac:dyDescent="0.25"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  <c r="AA790" s="96"/>
      <c r="AB790" s="96"/>
      <c r="AC790" s="96"/>
    </row>
    <row r="791" spans="2:29" s="99" customFormat="1" ht="15.75" customHeight="1" x14ac:dyDescent="0.25"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  <c r="AA791" s="96"/>
      <c r="AB791" s="96"/>
      <c r="AC791" s="96"/>
    </row>
    <row r="792" spans="2:29" s="99" customFormat="1" ht="15.75" customHeight="1" x14ac:dyDescent="0.25"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  <c r="AA792" s="96"/>
      <c r="AB792" s="96"/>
      <c r="AC792" s="96"/>
    </row>
    <row r="793" spans="2:29" s="99" customFormat="1" ht="15.75" customHeight="1" x14ac:dyDescent="0.25"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  <c r="AA793" s="96"/>
      <c r="AB793" s="96"/>
      <c r="AC793" s="96"/>
    </row>
    <row r="794" spans="2:29" s="99" customFormat="1" ht="15.75" customHeight="1" x14ac:dyDescent="0.25"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  <c r="AA794" s="96"/>
      <c r="AB794" s="96"/>
      <c r="AC794" s="96"/>
    </row>
    <row r="795" spans="2:29" s="99" customFormat="1" ht="15.75" customHeight="1" x14ac:dyDescent="0.25"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  <c r="AA795" s="96"/>
      <c r="AB795" s="96"/>
      <c r="AC795" s="96"/>
    </row>
    <row r="796" spans="2:29" s="99" customFormat="1" ht="15.75" customHeight="1" x14ac:dyDescent="0.25"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  <c r="AA796" s="96"/>
      <c r="AB796" s="96"/>
      <c r="AC796" s="96"/>
    </row>
    <row r="797" spans="2:29" s="99" customFormat="1" ht="15.75" customHeight="1" x14ac:dyDescent="0.25"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  <c r="AA797" s="96"/>
      <c r="AB797" s="96"/>
      <c r="AC797" s="96"/>
    </row>
    <row r="798" spans="2:29" s="99" customFormat="1" ht="15.75" customHeight="1" x14ac:dyDescent="0.25"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  <c r="AA798" s="96"/>
      <c r="AB798" s="96"/>
      <c r="AC798" s="96"/>
    </row>
    <row r="799" spans="2:29" s="99" customFormat="1" ht="15.75" customHeight="1" x14ac:dyDescent="0.25"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  <c r="AA799" s="96"/>
      <c r="AB799" s="96"/>
      <c r="AC799" s="96"/>
    </row>
    <row r="800" spans="2:29" s="99" customFormat="1" ht="15.75" customHeight="1" x14ac:dyDescent="0.25"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  <c r="AA800" s="96"/>
      <c r="AB800" s="96"/>
      <c r="AC800" s="96"/>
    </row>
    <row r="801" spans="2:29" s="99" customFormat="1" ht="15.75" customHeight="1" x14ac:dyDescent="0.25"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  <c r="AA801" s="96"/>
      <c r="AB801" s="96"/>
      <c r="AC801" s="96"/>
    </row>
    <row r="802" spans="2:29" s="99" customFormat="1" ht="15.75" customHeight="1" x14ac:dyDescent="0.25"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  <c r="AA802" s="96"/>
      <c r="AB802" s="96"/>
      <c r="AC802" s="96"/>
    </row>
    <row r="803" spans="2:29" s="99" customFormat="1" ht="15.75" customHeight="1" x14ac:dyDescent="0.25"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  <c r="AA803" s="96"/>
      <c r="AB803" s="96"/>
      <c r="AC803" s="96"/>
    </row>
    <row r="804" spans="2:29" s="99" customFormat="1" ht="15.75" customHeight="1" x14ac:dyDescent="0.25"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  <c r="AA804" s="96"/>
      <c r="AB804" s="96"/>
      <c r="AC804" s="96"/>
    </row>
    <row r="805" spans="2:29" s="99" customFormat="1" ht="15.75" customHeight="1" x14ac:dyDescent="0.25"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  <c r="AA805" s="96"/>
      <c r="AB805" s="96"/>
      <c r="AC805" s="96"/>
    </row>
    <row r="806" spans="2:29" s="99" customFormat="1" ht="15.75" customHeight="1" x14ac:dyDescent="0.25"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  <c r="AA806" s="96"/>
      <c r="AB806" s="96"/>
      <c r="AC806" s="96"/>
    </row>
    <row r="807" spans="2:29" s="99" customFormat="1" ht="15.75" customHeight="1" x14ac:dyDescent="0.25"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  <c r="AA807" s="96"/>
      <c r="AB807" s="96"/>
      <c r="AC807" s="96"/>
    </row>
    <row r="808" spans="2:29" s="99" customFormat="1" ht="15.75" customHeight="1" x14ac:dyDescent="0.25"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  <c r="AA808" s="96"/>
      <c r="AB808" s="96"/>
      <c r="AC808" s="96"/>
    </row>
    <row r="809" spans="2:29" s="99" customFormat="1" ht="15.75" customHeight="1" x14ac:dyDescent="0.25"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  <c r="AA809" s="96"/>
      <c r="AB809" s="96"/>
      <c r="AC809" s="96"/>
    </row>
    <row r="810" spans="2:29" s="99" customFormat="1" ht="15.75" customHeight="1" x14ac:dyDescent="0.25"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  <c r="AA810" s="96"/>
      <c r="AB810" s="96"/>
      <c r="AC810" s="96"/>
    </row>
    <row r="811" spans="2:29" s="99" customFormat="1" ht="15.75" customHeight="1" x14ac:dyDescent="0.25"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  <c r="AA811" s="96"/>
      <c r="AB811" s="96"/>
      <c r="AC811" s="96"/>
    </row>
    <row r="812" spans="2:29" s="99" customFormat="1" ht="15.75" customHeight="1" x14ac:dyDescent="0.25"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  <c r="AA812" s="96"/>
      <c r="AB812" s="96"/>
      <c r="AC812" s="96"/>
    </row>
    <row r="813" spans="2:29" s="99" customFormat="1" ht="15.75" customHeight="1" x14ac:dyDescent="0.25"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  <c r="AA813" s="96"/>
      <c r="AB813" s="96"/>
      <c r="AC813" s="96"/>
    </row>
    <row r="814" spans="2:29" s="99" customFormat="1" ht="15.75" customHeight="1" x14ac:dyDescent="0.25"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  <c r="AA814" s="96"/>
      <c r="AB814" s="96"/>
      <c r="AC814" s="96"/>
    </row>
    <row r="815" spans="2:29" s="99" customFormat="1" ht="15.75" customHeight="1" x14ac:dyDescent="0.25"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  <c r="AA815" s="96"/>
      <c r="AB815" s="96"/>
      <c r="AC815" s="96"/>
    </row>
    <row r="816" spans="2:29" s="99" customFormat="1" ht="15.75" customHeight="1" x14ac:dyDescent="0.25"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  <c r="AA816" s="96"/>
      <c r="AB816" s="96"/>
      <c r="AC816" s="96"/>
    </row>
    <row r="817" spans="2:29" s="99" customFormat="1" ht="15.75" customHeight="1" x14ac:dyDescent="0.25"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  <c r="AA817" s="96"/>
      <c r="AB817" s="96"/>
      <c r="AC817" s="96"/>
    </row>
    <row r="818" spans="2:29" s="99" customFormat="1" ht="15.75" customHeight="1" x14ac:dyDescent="0.25"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  <c r="AA818" s="96"/>
      <c r="AB818" s="96"/>
      <c r="AC818" s="96"/>
    </row>
    <row r="819" spans="2:29" s="99" customFormat="1" ht="15.75" customHeight="1" x14ac:dyDescent="0.25"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  <c r="AA819" s="96"/>
      <c r="AB819" s="96"/>
      <c r="AC819" s="96"/>
    </row>
    <row r="820" spans="2:29" s="99" customFormat="1" ht="15.75" customHeight="1" x14ac:dyDescent="0.25"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  <c r="AA820" s="96"/>
      <c r="AB820" s="96"/>
      <c r="AC820" s="96"/>
    </row>
    <row r="821" spans="2:29" s="99" customFormat="1" ht="15.75" customHeight="1" x14ac:dyDescent="0.25"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  <c r="AA821" s="96"/>
      <c r="AB821" s="96"/>
      <c r="AC821" s="96"/>
    </row>
    <row r="822" spans="2:29" s="99" customFormat="1" ht="15.75" customHeight="1" x14ac:dyDescent="0.25"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  <c r="AA822" s="96"/>
      <c r="AB822" s="96"/>
      <c r="AC822" s="96"/>
    </row>
    <row r="823" spans="2:29" s="99" customFormat="1" ht="15.75" customHeight="1" x14ac:dyDescent="0.25"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  <c r="AA823" s="96"/>
      <c r="AB823" s="96"/>
      <c r="AC823" s="96"/>
    </row>
    <row r="824" spans="2:29" s="99" customFormat="1" ht="15.75" customHeight="1" x14ac:dyDescent="0.25"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  <c r="AA824" s="96"/>
      <c r="AB824" s="96"/>
      <c r="AC824" s="96"/>
    </row>
    <row r="825" spans="2:29" s="99" customFormat="1" ht="15.75" customHeight="1" x14ac:dyDescent="0.25"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  <c r="AA825" s="96"/>
      <c r="AB825" s="96"/>
      <c r="AC825" s="96"/>
    </row>
  </sheetData>
  <mergeCells count="9">
    <mergeCell ref="A1:K1"/>
    <mergeCell ref="A2:K2"/>
    <mergeCell ref="A3:K3"/>
    <mergeCell ref="A4:K4"/>
    <mergeCell ref="A5:A6"/>
    <mergeCell ref="B5:B6"/>
    <mergeCell ref="C5:C6"/>
    <mergeCell ref="E5:E6"/>
    <mergeCell ref="J5:J6"/>
  </mergeCells>
  <printOptions horizontalCentered="1"/>
  <pageMargins left="0.23622047244094491" right="0.23622047244094491" top="0.19685039370078741" bottom="0.19685039370078741" header="0.11811023622047245" footer="0.11811023622047245"/>
  <pageSetup paperSize="9" scale="5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75F9-3947-4433-9EC7-6579607EEC37}">
  <sheetPr>
    <pageSetUpPr fitToPage="1"/>
  </sheetPr>
  <dimension ref="A1:AB833"/>
  <sheetViews>
    <sheetView view="pageBreakPreview" zoomScale="60" zoomScaleNormal="85" workbookViewId="0">
      <selection activeCell="I5" sqref="I1:I1048576"/>
    </sheetView>
  </sheetViews>
  <sheetFormatPr defaultColWidth="12.5703125" defaultRowHeight="15" customHeight="1" x14ac:dyDescent="0.25"/>
  <cols>
    <col min="1" max="1" width="7.7109375" style="99" customWidth="1"/>
    <col min="2" max="2" width="23.28515625" style="96" bestFit="1" customWidth="1"/>
    <col min="3" max="3" width="36.5703125" style="96" customWidth="1"/>
    <col min="4" max="4" width="15.85546875" style="96" hidden="1" customWidth="1"/>
    <col min="5" max="8" width="16.28515625" style="96" customWidth="1"/>
    <col min="9" max="9" width="16.28515625" style="96" hidden="1" customWidth="1"/>
    <col min="10" max="10" width="13.5703125" style="96" hidden="1" customWidth="1"/>
    <col min="11" max="11" width="16.140625" style="96" hidden="1" customWidth="1"/>
    <col min="12" max="12" width="11.140625" style="96" hidden="1" customWidth="1"/>
    <col min="13" max="28" width="7.5703125" style="96" customWidth="1"/>
    <col min="29" max="16384" width="12.5703125" style="96"/>
  </cols>
  <sheetData>
    <row r="1" spans="1:10" ht="30" customHeight="1" thickBot="1" x14ac:dyDescent="0.3">
      <c r="A1" s="171" t="s">
        <v>0</v>
      </c>
      <c r="B1" s="172"/>
      <c r="C1" s="172"/>
      <c r="D1" s="172"/>
      <c r="E1" s="172"/>
      <c r="F1" s="172"/>
      <c r="G1" s="172"/>
      <c r="H1" s="172"/>
      <c r="I1" s="172"/>
      <c r="J1" s="173"/>
    </row>
    <row r="2" spans="1:10" ht="30" customHeight="1" thickBot="1" x14ac:dyDescent="0.3">
      <c r="A2" s="171" t="s">
        <v>1</v>
      </c>
      <c r="B2" s="172"/>
      <c r="C2" s="172"/>
      <c r="D2" s="172"/>
      <c r="E2" s="172"/>
      <c r="F2" s="172"/>
      <c r="G2" s="172"/>
      <c r="H2" s="172"/>
      <c r="I2" s="172"/>
      <c r="J2" s="173"/>
    </row>
    <row r="3" spans="1:10" ht="30" customHeight="1" thickBot="1" x14ac:dyDescent="0.3">
      <c r="A3" s="171" t="s">
        <v>66</v>
      </c>
      <c r="B3" s="172"/>
      <c r="C3" s="172"/>
      <c r="D3" s="172"/>
      <c r="E3" s="172"/>
      <c r="F3" s="172"/>
      <c r="G3" s="172"/>
      <c r="H3" s="172"/>
      <c r="I3" s="172"/>
      <c r="J3" s="173"/>
    </row>
    <row r="4" spans="1:10" ht="30" customHeight="1" x14ac:dyDescent="0.25">
      <c r="A4" s="174" t="s">
        <v>625</v>
      </c>
      <c r="B4" s="175"/>
      <c r="C4" s="175"/>
      <c r="D4" s="175"/>
      <c r="E4" s="175"/>
      <c r="F4" s="175"/>
      <c r="G4" s="175"/>
      <c r="H4" s="175"/>
      <c r="I4" s="175"/>
      <c r="J4" s="176"/>
    </row>
    <row r="5" spans="1:10" ht="24.95" customHeight="1" x14ac:dyDescent="0.25">
      <c r="A5" s="181" t="s">
        <v>2</v>
      </c>
      <c r="B5" s="183" t="s">
        <v>3</v>
      </c>
      <c r="C5" s="183" t="s">
        <v>4</v>
      </c>
      <c r="D5" s="183" t="s">
        <v>5</v>
      </c>
      <c r="E5" s="64">
        <v>46118</v>
      </c>
      <c r="F5" s="64">
        <v>46118</v>
      </c>
      <c r="G5" s="64">
        <v>46119</v>
      </c>
      <c r="H5" s="64">
        <v>46119</v>
      </c>
      <c r="I5" s="185"/>
      <c r="J5" s="64">
        <v>46120</v>
      </c>
    </row>
    <row r="6" spans="1:10" ht="62.25" customHeight="1" x14ac:dyDescent="0.25">
      <c r="A6" s="182"/>
      <c r="B6" s="184"/>
      <c r="C6" s="184"/>
      <c r="D6" s="184"/>
      <c r="E6" s="97" t="s">
        <v>61</v>
      </c>
      <c r="F6" s="100" t="s">
        <v>62</v>
      </c>
      <c r="G6" s="100" t="s">
        <v>63</v>
      </c>
      <c r="H6" s="100" t="s">
        <v>64</v>
      </c>
      <c r="I6" s="186"/>
      <c r="J6" s="66" t="s">
        <v>71</v>
      </c>
    </row>
    <row r="7" spans="1:10" ht="24.95" customHeight="1" x14ac:dyDescent="0.25">
      <c r="A7" s="101">
        <v>1</v>
      </c>
      <c r="B7" s="108" t="s">
        <v>397</v>
      </c>
      <c r="C7" s="109" t="s">
        <v>398</v>
      </c>
      <c r="D7" s="104">
        <v>45.528455284552841</v>
      </c>
      <c r="E7" s="105"/>
      <c r="F7" s="105"/>
      <c r="G7" s="105"/>
      <c r="H7" s="105"/>
      <c r="I7" s="105"/>
    </row>
    <row r="8" spans="1:10" ht="24.95" customHeight="1" x14ac:dyDescent="0.25">
      <c r="A8" s="101">
        <v>2</v>
      </c>
      <c r="B8" s="108" t="s">
        <v>395</v>
      </c>
      <c r="C8" s="109" t="s">
        <v>396</v>
      </c>
      <c r="D8" s="104">
        <v>47.967479674796749</v>
      </c>
      <c r="E8" s="105"/>
      <c r="F8" s="105"/>
      <c r="G8" s="105"/>
      <c r="H8" s="105"/>
      <c r="I8" s="105"/>
    </row>
    <row r="9" spans="1:10" ht="24.95" customHeight="1" x14ac:dyDescent="0.25">
      <c r="A9" s="101">
        <v>3</v>
      </c>
      <c r="B9" s="108" t="s">
        <v>379</v>
      </c>
      <c r="C9" s="109" t="s">
        <v>380</v>
      </c>
      <c r="D9" s="104">
        <v>56.910569105691053</v>
      </c>
      <c r="E9" s="105"/>
      <c r="F9" s="105"/>
      <c r="G9" s="105"/>
      <c r="H9" s="105"/>
      <c r="I9" s="105"/>
    </row>
    <row r="10" spans="1:10" ht="24.95" customHeight="1" x14ac:dyDescent="0.25">
      <c r="A10" s="101">
        <v>4</v>
      </c>
      <c r="B10" s="108" t="s">
        <v>377</v>
      </c>
      <c r="C10" s="109" t="s">
        <v>378</v>
      </c>
      <c r="D10" s="104">
        <v>57.72357723577236</v>
      </c>
      <c r="E10" s="105"/>
      <c r="F10" s="105"/>
      <c r="G10" s="105"/>
      <c r="H10" s="105"/>
      <c r="I10" s="105"/>
    </row>
    <row r="11" spans="1:10" ht="24.95" customHeight="1" x14ac:dyDescent="0.25">
      <c r="A11" s="101">
        <v>5</v>
      </c>
      <c r="B11" s="108" t="s">
        <v>411</v>
      </c>
      <c r="C11" s="109" t="s">
        <v>412</v>
      </c>
      <c r="D11" s="104">
        <v>37.704918032786885</v>
      </c>
      <c r="E11" s="105"/>
      <c r="F11" s="105"/>
      <c r="G11" s="105"/>
      <c r="H11" s="105"/>
      <c r="I11" s="105"/>
    </row>
    <row r="12" spans="1:10" ht="24.95" customHeight="1" x14ac:dyDescent="0.25">
      <c r="A12" s="101">
        <v>6</v>
      </c>
      <c r="B12" s="108" t="s">
        <v>424</v>
      </c>
      <c r="C12" s="109" t="s">
        <v>425</v>
      </c>
      <c r="D12" s="104">
        <v>24</v>
      </c>
      <c r="E12" s="105"/>
      <c r="F12" s="105"/>
      <c r="G12" s="105"/>
      <c r="H12" s="105"/>
      <c r="I12" s="105"/>
    </row>
    <row r="13" spans="1:10" ht="24.95" customHeight="1" x14ac:dyDescent="0.25">
      <c r="A13" s="101">
        <v>7</v>
      </c>
      <c r="B13" s="108" t="s">
        <v>391</v>
      </c>
      <c r="C13" s="109" t="s">
        <v>392</v>
      </c>
      <c r="D13" s="104">
        <v>51.219512195121951</v>
      </c>
      <c r="E13" s="105"/>
      <c r="F13" s="105"/>
      <c r="G13" s="105"/>
      <c r="H13" s="105"/>
      <c r="I13" s="105"/>
    </row>
    <row r="14" spans="1:10" ht="24.95" customHeight="1" x14ac:dyDescent="0.25">
      <c r="A14" s="101">
        <v>8</v>
      </c>
      <c r="B14" s="108" t="s">
        <v>393</v>
      </c>
      <c r="C14" s="109" t="s">
        <v>394</v>
      </c>
      <c r="D14" s="104">
        <v>50.40650406504065</v>
      </c>
      <c r="E14" s="105"/>
      <c r="F14" s="105"/>
      <c r="G14" s="105"/>
      <c r="H14" s="105"/>
      <c r="I14" s="105"/>
    </row>
    <row r="15" spans="1:10" ht="24.95" customHeight="1" x14ac:dyDescent="0.25">
      <c r="A15" s="101">
        <v>9</v>
      </c>
      <c r="B15" s="108" t="s">
        <v>387</v>
      </c>
      <c r="C15" s="109" t="s">
        <v>388</v>
      </c>
      <c r="D15" s="104">
        <v>52.032520325203258</v>
      </c>
      <c r="E15" s="105"/>
      <c r="F15" s="105"/>
      <c r="G15" s="105"/>
      <c r="H15" s="105"/>
      <c r="I15" s="105"/>
    </row>
    <row r="16" spans="1:10" ht="24.95" customHeight="1" x14ac:dyDescent="0.25">
      <c r="A16" s="101">
        <v>10</v>
      </c>
      <c r="B16" s="108" t="s">
        <v>426</v>
      </c>
      <c r="C16" s="109" t="s">
        <v>427</v>
      </c>
      <c r="D16" s="104">
        <v>22.76422764227642</v>
      </c>
      <c r="E16" s="105"/>
      <c r="F16" s="105"/>
      <c r="G16" s="105"/>
      <c r="H16" s="105"/>
      <c r="I16" s="105"/>
    </row>
    <row r="17" spans="1:9" ht="24.95" customHeight="1" x14ac:dyDescent="0.25">
      <c r="A17" s="101">
        <v>11</v>
      </c>
      <c r="B17" s="108" t="s">
        <v>405</v>
      </c>
      <c r="C17" s="109" t="s">
        <v>406</v>
      </c>
      <c r="D17" s="104">
        <v>39.837398373983739</v>
      </c>
      <c r="E17" s="105"/>
      <c r="F17" s="105"/>
      <c r="G17" s="105"/>
      <c r="H17" s="105"/>
      <c r="I17" s="105"/>
    </row>
    <row r="18" spans="1:9" ht="24.95" customHeight="1" x14ac:dyDescent="0.25">
      <c r="A18" s="101">
        <v>12</v>
      </c>
      <c r="B18" s="108" t="s">
        <v>420</v>
      </c>
      <c r="C18" s="109" t="s">
        <v>406</v>
      </c>
      <c r="D18" s="104">
        <v>26.829268292682929</v>
      </c>
      <c r="E18" s="105"/>
      <c r="F18" s="105"/>
      <c r="G18" s="105"/>
      <c r="H18" s="105"/>
      <c r="I18" s="105"/>
    </row>
    <row r="19" spans="1:9" ht="24.95" customHeight="1" x14ac:dyDescent="0.25">
      <c r="A19" s="101">
        <v>13</v>
      </c>
      <c r="B19" s="108" t="s">
        <v>428</v>
      </c>
      <c r="C19" s="109" t="s">
        <v>406</v>
      </c>
      <c r="D19" s="104">
        <v>22.76422764227642</v>
      </c>
      <c r="E19" s="105"/>
      <c r="F19" s="105"/>
      <c r="G19" s="105"/>
      <c r="H19" s="105"/>
      <c r="I19" s="105"/>
    </row>
    <row r="20" spans="1:9" ht="24.95" customHeight="1" x14ac:dyDescent="0.25">
      <c r="A20" s="101">
        <v>14</v>
      </c>
      <c r="B20" s="108" t="s">
        <v>413</v>
      </c>
      <c r="C20" s="109" t="s">
        <v>406</v>
      </c>
      <c r="D20" s="104">
        <v>37.398373983739837</v>
      </c>
      <c r="E20" s="105"/>
      <c r="F20" s="105"/>
      <c r="G20" s="105"/>
      <c r="H20" s="105"/>
      <c r="I20" s="105"/>
    </row>
    <row r="21" spans="1:9" ht="24.95" customHeight="1" x14ac:dyDescent="0.25">
      <c r="A21" s="101">
        <v>15</v>
      </c>
      <c r="B21" s="108" t="s">
        <v>415</v>
      </c>
      <c r="C21" s="109" t="s">
        <v>416</v>
      </c>
      <c r="D21" s="104">
        <v>34.959349593495936</v>
      </c>
      <c r="E21" s="105"/>
      <c r="F21" s="105"/>
      <c r="G21" s="105"/>
      <c r="H21" s="105"/>
      <c r="I21" s="105"/>
    </row>
    <row r="22" spans="1:9" ht="24.95" customHeight="1" x14ac:dyDescent="0.25">
      <c r="A22" s="101">
        <v>16</v>
      </c>
      <c r="B22" s="108" t="s">
        <v>385</v>
      </c>
      <c r="C22" s="109" t="s">
        <v>386</v>
      </c>
      <c r="D22" s="104">
        <v>52.459016393442624</v>
      </c>
      <c r="E22" s="105"/>
      <c r="F22" s="105"/>
      <c r="G22" s="105"/>
      <c r="H22" s="105"/>
      <c r="I22" s="105"/>
    </row>
    <row r="23" spans="1:9" ht="24.95" customHeight="1" x14ac:dyDescent="0.25">
      <c r="A23" s="101">
        <v>17</v>
      </c>
      <c r="B23" s="108" t="s">
        <v>417</v>
      </c>
      <c r="C23" s="109" t="s">
        <v>19</v>
      </c>
      <c r="D23" s="104">
        <v>34.146341463414636</v>
      </c>
      <c r="E23" s="105"/>
      <c r="F23" s="105"/>
      <c r="G23" s="105"/>
      <c r="H23" s="105"/>
      <c r="I23" s="105"/>
    </row>
    <row r="24" spans="1:9" ht="24.95" customHeight="1" x14ac:dyDescent="0.25">
      <c r="A24" s="101">
        <v>18</v>
      </c>
      <c r="B24" s="108" t="s">
        <v>375</v>
      </c>
      <c r="C24" s="109" t="s">
        <v>376</v>
      </c>
      <c r="D24" s="104">
        <v>58.870967741935488</v>
      </c>
      <c r="E24" s="105"/>
      <c r="F24" s="105"/>
      <c r="G24" s="105"/>
      <c r="H24" s="105"/>
      <c r="I24" s="105"/>
    </row>
    <row r="25" spans="1:9" ht="24.95" customHeight="1" x14ac:dyDescent="0.25">
      <c r="A25" s="101">
        <v>19</v>
      </c>
      <c r="B25" s="108" t="s">
        <v>421</v>
      </c>
      <c r="C25" s="109" t="s">
        <v>422</v>
      </c>
      <c r="D25" s="104">
        <v>25.806451612903224</v>
      </c>
      <c r="E25" s="105"/>
      <c r="F25" s="105"/>
      <c r="G25" s="105"/>
      <c r="H25" s="105"/>
      <c r="I25" s="105"/>
    </row>
    <row r="26" spans="1:9" ht="24.95" customHeight="1" x14ac:dyDescent="0.25">
      <c r="A26" s="101">
        <v>20</v>
      </c>
      <c r="B26" s="108" t="s">
        <v>433</v>
      </c>
      <c r="C26" s="109" t="s">
        <v>434</v>
      </c>
      <c r="D26" s="104">
        <v>0.80645161290322576</v>
      </c>
      <c r="E26" s="105"/>
      <c r="F26" s="105"/>
      <c r="G26" s="105"/>
      <c r="H26" s="105"/>
      <c r="I26" s="105"/>
    </row>
    <row r="27" spans="1:9" ht="24.95" customHeight="1" x14ac:dyDescent="0.25">
      <c r="A27" s="101">
        <v>21</v>
      </c>
      <c r="B27" s="108" t="s">
        <v>383</v>
      </c>
      <c r="C27" s="109" t="s">
        <v>384</v>
      </c>
      <c r="D27" s="104">
        <v>54.838709677419352</v>
      </c>
      <c r="E27" s="105"/>
      <c r="F27" s="105"/>
      <c r="G27" s="105"/>
      <c r="H27" s="105"/>
      <c r="I27" s="105"/>
    </row>
    <row r="28" spans="1:9" ht="24.95" customHeight="1" x14ac:dyDescent="0.25">
      <c r="A28" s="101">
        <v>22</v>
      </c>
      <c r="B28" s="108" t="s">
        <v>418</v>
      </c>
      <c r="C28" s="109" t="s">
        <v>419</v>
      </c>
      <c r="D28" s="104">
        <v>27.419354838709676</v>
      </c>
      <c r="E28" s="105"/>
      <c r="F28" s="105"/>
      <c r="G28" s="105"/>
      <c r="H28" s="105"/>
      <c r="I28" s="105"/>
    </row>
    <row r="29" spans="1:9" ht="24.95" customHeight="1" x14ac:dyDescent="0.25">
      <c r="A29" s="101">
        <v>23</v>
      </c>
      <c r="B29" s="108" t="s">
        <v>409</v>
      </c>
      <c r="C29" s="109" t="s">
        <v>410</v>
      </c>
      <c r="D29" s="104">
        <v>38.70967741935484</v>
      </c>
      <c r="E29" s="105"/>
      <c r="F29" s="105"/>
      <c r="G29" s="105"/>
      <c r="H29" s="105"/>
      <c r="I29" s="105"/>
    </row>
    <row r="30" spans="1:9" ht="24.95" customHeight="1" x14ac:dyDescent="0.25">
      <c r="A30" s="101">
        <v>24</v>
      </c>
      <c r="B30" s="108" t="s">
        <v>423</v>
      </c>
      <c r="C30" s="109" t="s">
        <v>410</v>
      </c>
      <c r="D30" s="104">
        <v>25.806451612903224</v>
      </c>
      <c r="E30" s="105"/>
      <c r="F30" s="105"/>
      <c r="G30" s="105"/>
      <c r="H30" s="105"/>
      <c r="I30" s="105"/>
    </row>
    <row r="31" spans="1:9" ht="24.95" customHeight="1" x14ac:dyDescent="0.25">
      <c r="A31" s="101">
        <v>25</v>
      </c>
      <c r="B31" s="108" t="s">
        <v>407</v>
      </c>
      <c r="C31" s="109" t="s">
        <v>408</v>
      </c>
      <c r="D31" s="104">
        <v>39.516129032258064</v>
      </c>
      <c r="E31" s="105"/>
      <c r="F31" s="105"/>
      <c r="G31" s="105"/>
      <c r="H31" s="105"/>
      <c r="I31" s="105"/>
    </row>
    <row r="32" spans="1:9" ht="24.95" customHeight="1" x14ac:dyDescent="0.25">
      <c r="A32" s="101">
        <v>26</v>
      </c>
      <c r="B32" s="108" t="s">
        <v>429</v>
      </c>
      <c r="C32" s="109" t="s">
        <v>430</v>
      </c>
      <c r="D32" s="104">
        <v>12.096774193548388</v>
      </c>
      <c r="E32" s="105"/>
      <c r="F32" s="105"/>
      <c r="G32" s="105"/>
      <c r="H32" s="105"/>
      <c r="I32" s="105"/>
    </row>
    <row r="33" spans="1:9" ht="24.95" customHeight="1" x14ac:dyDescent="0.25">
      <c r="A33" s="101">
        <v>27</v>
      </c>
      <c r="B33" s="108" t="s">
        <v>414</v>
      </c>
      <c r="C33" s="109" t="s">
        <v>20</v>
      </c>
      <c r="D33" s="104">
        <v>37.096774193548384</v>
      </c>
      <c r="E33" s="105"/>
      <c r="F33" s="105"/>
      <c r="G33" s="105"/>
      <c r="H33" s="105"/>
      <c r="I33" s="105"/>
    </row>
    <row r="34" spans="1:9" ht="24.95" customHeight="1" x14ac:dyDescent="0.25">
      <c r="A34" s="101">
        <v>28</v>
      </c>
      <c r="B34" s="108" t="s">
        <v>399</v>
      </c>
      <c r="C34" s="109" t="s">
        <v>400</v>
      </c>
      <c r="D34" s="104">
        <v>42.276422764227647</v>
      </c>
      <c r="E34" s="105"/>
      <c r="F34" s="105"/>
      <c r="G34" s="105"/>
      <c r="H34" s="105"/>
      <c r="I34" s="105"/>
    </row>
    <row r="35" spans="1:9" ht="24.95" customHeight="1" x14ac:dyDescent="0.25">
      <c r="A35" s="101">
        <v>29</v>
      </c>
      <c r="B35" s="108" t="s">
        <v>389</v>
      </c>
      <c r="C35" s="109" t="s">
        <v>390</v>
      </c>
      <c r="D35" s="104">
        <v>52.032520325203258</v>
      </c>
      <c r="E35" s="105"/>
      <c r="F35" s="105"/>
      <c r="G35" s="105"/>
      <c r="H35" s="105"/>
      <c r="I35" s="105"/>
    </row>
    <row r="36" spans="1:9" ht="24.95" customHeight="1" x14ac:dyDescent="0.25">
      <c r="A36" s="101">
        <v>30</v>
      </c>
      <c r="B36" s="108" t="s">
        <v>431</v>
      </c>
      <c r="C36" s="109" t="s">
        <v>432</v>
      </c>
      <c r="D36" s="104">
        <v>10.569105691056912</v>
      </c>
      <c r="E36" s="105"/>
      <c r="F36" s="105"/>
      <c r="G36" s="105"/>
      <c r="H36" s="105"/>
      <c r="I36" s="105"/>
    </row>
    <row r="37" spans="1:9" ht="24.95" customHeight="1" x14ac:dyDescent="0.25">
      <c r="A37" s="101">
        <v>31</v>
      </c>
      <c r="B37" s="108" t="s">
        <v>381</v>
      </c>
      <c r="C37" s="109" t="s">
        <v>382</v>
      </c>
      <c r="D37" s="104">
        <v>56.09756097560976</v>
      </c>
      <c r="E37" s="105"/>
      <c r="F37" s="105"/>
      <c r="G37" s="105"/>
      <c r="H37" s="105"/>
      <c r="I37" s="105"/>
    </row>
    <row r="38" spans="1:9" ht="24.95" customHeight="1" x14ac:dyDescent="0.25">
      <c r="A38" s="101">
        <v>32</v>
      </c>
      <c r="B38" s="108" t="s">
        <v>403</v>
      </c>
      <c r="C38" s="109" t="s">
        <v>404</v>
      </c>
      <c r="D38" s="104">
        <v>40.594059405940598</v>
      </c>
      <c r="E38" s="105"/>
      <c r="F38" s="105"/>
      <c r="G38" s="105"/>
      <c r="H38" s="105"/>
      <c r="I38" s="105"/>
    </row>
    <row r="39" spans="1:9" ht="24.95" customHeight="1" x14ac:dyDescent="0.25">
      <c r="A39" s="101">
        <v>33</v>
      </c>
      <c r="B39" s="108" t="s">
        <v>401</v>
      </c>
      <c r="C39" s="109" t="s">
        <v>402</v>
      </c>
      <c r="D39" s="104">
        <v>41.463414634146339</v>
      </c>
      <c r="E39" s="105"/>
      <c r="F39" s="105"/>
      <c r="G39" s="105"/>
      <c r="H39" s="105"/>
      <c r="I39" s="105"/>
    </row>
    <row r="40" spans="1:9" ht="15.75" customHeight="1" x14ac:dyDescent="0.25">
      <c r="B40" s="98"/>
      <c r="C40" s="98"/>
      <c r="D40" s="98"/>
    </row>
    <row r="41" spans="1:9" ht="15.75" customHeight="1" x14ac:dyDescent="0.25">
      <c r="B41" s="98"/>
      <c r="C41" s="98"/>
      <c r="D41" s="98"/>
    </row>
    <row r="42" spans="1:9" ht="15.75" customHeight="1" x14ac:dyDescent="0.25">
      <c r="B42" s="98"/>
      <c r="C42" s="98"/>
      <c r="D42" s="98"/>
    </row>
    <row r="43" spans="1:9" ht="15.75" customHeight="1" x14ac:dyDescent="0.25">
      <c r="B43" s="98"/>
      <c r="C43" s="98"/>
      <c r="D43" s="98"/>
    </row>
    <row r="44" spans="1:9" ht="15.75" customHeight="1" x14ac:dyDescent="0.25">
      <c r="B44" s="98"/>
      <c r="C44" s="98"/>
      <c r="D44" s="98"/>
    </row>
    <row r="45" spans="1:9" ht="15.75" customHeight="1" x14ac:dyDescent="0.25">
      <c r="B45" s="98"/>
      <c r="C45" s="98"/>
      <c r="D45" s="98"/>
    </row>
    <row r="46" spans="1:9" ht="15.75" customHeight="1" x14ac:dyDescent="0.25">
      <c r="B46" s="98"/>
      <c r="C46" s="98"/>
      <c r="D46" s="98"/>
    </row>
    <row r="47" spans="1:9" ht="15.75" customHeight="1" x14ac:dyDescent="0.25">
      <c r="B47" s="98"/>
      <c r="C47" s="98"/>
      <c r="D47" s="98"/>
    </row>
    <row r="48" spans="1:9" ht="15.75" customHeight="1" x14ac:dyDescent="0.25">
      <c r="B48" s="98"/>
      <c r="C48" s="98"/>
      <c r="D48" s="98"/>
    </row>
    <row r="49" spans="2:4" ht="15.75" customHeight="1" x14ac:dyDescent="0.25">
      <c r="B49" s="98"/>
      <c r="C49" s="98"/>
      <c r="D49" s="98"/>
    </row>
    <row r="50" spans="2:4" ht="15.75" customHeight="1" x14ac:dyDescent="0.25">
      <c r="B50" s="98"/>
      <c r="C50" s="98"/>
      <c r="D50" s="98"/>
    </row>
    <row r="51" spans="2:4" ht="15.75" customHeight="1" x14ac:dyDescent="0.25">
      <c r="B51" s="98"/>
      <c r="C51" s="98"/>
      <c r="D51" s="98"/>
    </row>
    <row r="52" spans="2:4" ht="15.75" customHeight="1" x14ac:dyDescent="0.25">
      <c r="B52" s="98"/>
      <c r="C52" s="98"/>
      <c r="D52" s="98"/>
    </row>
    <row r="53" spans="2:4" ht="15.75" customHeight="1" x14ac:dyDescent="0.25">
      <c r="B53" s="98"/>
      <c r="C53" s="98"/>
      <c r="D53" s="98"/>
    </row>
    <row r="54" spans="2:4" ht="15.75" customHeight="1" x14ac:dyDescent="0.25">
      <c r="B54" s="98"/>
      <c r="C54" s="98"/>
      <c r="D54" s="98"/>
    </row>
    <row r="55" spans="2:4" ht="15.75" customHeight="1" x14ac:dyDescent="0.25">
      <c r="B55" s="98"/>
      <c r="C55" s="98"/>
      <c r="D55" s="98"/>
    </row>
    <row r="56" spans="2:4" ht="15.75" customHeight="1" x14ac:dyDescent="0.25">
      <c r="B56" s="98"/>
      <c r="C56" s="98"/>
      <c r="D56" s="98"/>
    </row>
    <row r="57" spans="2:4" ht="15.75" customHeight="1" x14ac:dyDescent="0.25">
      <c r="B57" s="98"/>
      <c r="C57" s="98"/>
      <c r="D57" s="98"/>
    </row>
    <row r="58" spans="2:4" ht="15.75" customHeight="1" x14ac:dyDescent="0.25">
      <c r="B58" s="98"/>
      <c r="C58" s="98"/>
      <c r="D58" s="98"/>
    </row>
    <row r="59" spans="2:4" ht="15.75" customHeight="1" x14ac:dyDescent="0.25">
      <c r="B59" s="98"/>
      <c r="C59" s="98"/>
      <c r="D59" s="98"/>
    </row>
    <row r="60" spans="2:4" ht="15.75" customHeight="1" x14ac:dyDescent="0.25">
      <c r="B60" s="98"/>
      <c r="C60" s="98"/>
      <c r="D60" s="98"/>
    </row>
    <row r="61" spans="2:4" ht="15.75" customHeight="1" x14ac:dyDescent="0.25">
      <c r="B61" s="98"/>
      <c r="C61" s="98"/>
      <c r="D61" s="98"/>
    </row>
    <row r="62" spans="2:4" ht="15.75" customHeight="1" x14ac:dyDescent="0.25">
      <c r="B62" s="98"/>
      <c r="C62" s="98"/>
      <c r="D62" s="98"/>
    </row>
    <row r="63" spans="2:4" ht="15.75" customHeight="1" x14ac:dyDescent="0.25">
      <c r="B63" s="98"/>
      <c r="C63" s="98"/>
      <c r="D63" s="98"/>
    </row>
    <row r="64" spans="2:4" ht="15.75" customHeight="1" x14ac:dyDescent="0.25">
      <c r="B64" s="98"/>
      <c r="C64" s="98"/>
      <c r="D64" s="98"/>
    </row>
    <row r="65" spans="2:4" ht="15.75" customHeight="1" x14ac:dyDescent="0.25">
      <c r="B65" s="98"/>
      <c r="C65" s="98"/>
      <c r="D65" s="98"/>
    </row>
    <row r="66" spans="2:4" ht="15.75" customHeight="1" x14ac:dyDescent="0.25">
      <c r="B66" s="98"/>
      <c r="C66" s="98"/>
      <c r="D66" s="98"/>
    </row>
    <row r="67" spans="2:4" ht="15.75" customHeight="1" x14ac:dyDescent="0.25">
      <c r="B67" s="98"/>
      <c r="C67" s="98"/>
      <c r="D67" s="98"/>
    </row>
    <row r="68" spans="2:4" ht="15.75" customHeight="1" x14ac:dyDescent="0.25">
      <c r="B68" s="98"/>
      <c r="C68" s="98"/>
      <c r="D68" s="98"/>
    </row>
    <row r="69" spans="2:4" ht="15.75" customHeight="1" x14ac:dyDescent="0.25">
      <c r="B69" s="98"/>
      <c r="C69" s="98"/>
      <c r="D69" s="98"/>
    </row>
    <row r="70" spans="2:4" ht="15.75" customHeight="1" x14ac:dyDescent="0.25">
      <c r="B70" s="98"/>
      <c r="C70" s="98"/>
      <c r="D70" s="98"/>
    </row>
    <row r="71" spans="2:4" ht="15.75" customHeight="1" x14ac:dyDescent="0.25">
      <c r="B71" s="98"/>
      <c r="C71" s="98"/>
      <c r="D71" s="98"/>
    </row>
    <row r="72" spans="2:4" ht="15.75" customHeight="1" x14ac:dyDescent="0.25">
      <c r="B72" s="98"/>
      <c r="C72" s="98"/>
      <c r="D72" s="98"/>
    </row>
    <row r="73" spans="2:4" ht="15.75" customHeight="1" x14ac:dyDescent="0.25">
      <c r="B73" s="98"/>
      <c r="C73" s="98"/>
      <c r="D73" s="98"/>
    </row>
    <row r="74" spans="2:4" ht="15.75" customHeight="1" x14ac:dyDescent="0.25">
      <c r="B74" s="98"/>
      <c r="C74" s="98"/>
      <c r="D74" s="98"/>
    </row>
    <row r="75" spans="2:4" ht="15.75" customHeight="1" x14ac:dyDescent="0.25">
      <c r="B75" s="98"/>
      <c r="C75" s="98"/>
      <c r="D75" s="98"/>
    </row>
    <row r="76" spans="2:4" ht="15.75" customHeight="1" x14ac:dyDescent="0.25">
      <c r="B76" s="98"/>
      <c r="C76" s="98"/>
      <c r="D76" s="98"/>
    </row>
    <row r="77" spans="2:4" ht="15.75" customHeight="1" x14ac:dyDescent="0.25">
      <c r="B77" s="98"/>
      <c r="C77" s="98"/>
      <c r="D77" s="98"/>
    </row>
    <row r="78" spans="2:4" ht="15.75" customHeight="1" x14ac:dyDescent="0.25">
      <c r="B78" s="98"/>
      <c r="C78" s="98"/>
      <c r="D78" s="98"/>
    </row>
    <row r="79" spans="2:4" ht="15.75" customHeight="1" x14ac:dyDescent="0.25">
      <c r="B79" s="98"/>
      <c r="C79" s="98"/>
      <c r="D79" s="98"/>
    </row>
    <row r="80" spans="2:4" ht="15.75" customHeight="1" x14ac:dyDescent="0.25">
      <c r="B80" s="98"/>
      <c r="C80" s="98"/>
      <c r="D80" s="98"/>
    </row>
    <row r="81" spans="2:4" ht="15.75" customHeight="1" x14ac:dyDescent="0.25">
      <c r="B81" s="98"/>
      <c r="C81" s="98"/>
      <c r="D81" s="98"/>
    </row>
    <row r="82" spans="2:4" ht="15.75" customHeight="1" x14ac:dyDescent="0.25">
      <c r="B82" s="98"/>
      <c r="C82" s="98"/>
      <c r="D82" s="98"/>
    </row>
    <row r="83" spans="2:4" ht="15.75" customHeight="1" x14ac:dyDescent="0.25">
      <c r="B83" s="98"/>
      <c r="C83" s="98"/>
      <c r="D83" s="98"/>
    </row>
    <row r="84" spans="2:4" ht="15.75" customHeight="1" x14ac:dyDescent="0.25">
      <c r="B84" s="98"/>
      <c r="C84" s="98"/>
      <c r="D84" s="98"/>
    </row>
    <row r="85" spans="2:4" ht="15.75" customHeight="1" x14ac:dyDescent="0.25">
      <c r="B85" s="98"/>
      <c r="C85" s="98"/>
      <c r="D85" s="98"/>
    </row>
    <row r="86" spans="2:4" ht="15.75" customHeight="1" x14ac:dyDescent="0.25">
      <c r="B86" s="98"/>
      <c r="C86" s="98"/>
      <c r="D86" s="98"/>
    </row>
    <row r="87" spans="2:4" ht="15.75" customHeight="1" x14ac:dyDescent="0.25">
      <c r="B87" s="98"/>
      <c r="C87" s="98"/>
      <c r="D87" s="98"/>
    </row>
    <row r="88" spans="2:4" ht="15.75" customHeight="1" x14ac:dyDescent="0.25">
      <c r="B88" s="98"/>
      <c r="C88" s="98"/>
      <c r="D88" s="98"/>
    </row>
    <row r="89" spans="2:4" ht="15.75" customHeight="1" x14ac:dyDescent="0.25">
      <c r="B89" s="98"/>
      <c r="C89" s="98"/>
      <c r="D89" s="98"/>
    </row>
    <row r="90" spans="2:4" ht="15.75" customHeight="1" x14ac:dyDescent="0.25">
      <c r="B90" s="98"/>
      <c r="C90" s="98"/>
      <c r="D90" s="98"/>
    </row>
    <row r="91" spans="2:4" ht="15.75" customHeight="1" x14ac:dyDescent="0.25">
      <c r="B91" s="98"/>
      <c r="C91" s="98"/>
      <c r="D91" s="98"/>
    </row>
    <row r="92" spans="2:4" ht="15.75" customHeight="1" x14ac:dyDescent="0.25"/>
    <row r="93" spans="2:4" ht="15.75" customHeight="1" x14ac:dyDescent="0.25"/>
    <row r="94" spans="2:4" ht="15.75" customHeight="1" x14ac:dyDescent="0.25"/>
    <row r="95" spans="2:4" ht="15.75" customHeight="1" x14ac:dyDescent="0.25"/>
    <row r="96" spans="2:4" ht="15.75" customHeight="1" x14ac:dyDescent="0.25"/>
    <row r="97" spans="2:28" ht="15.75" customHeight="1" x14ac:dyDescent="0.25"/>
    <row r="98" spans="2:28" ht="15.75" customHeight="1" x14ac:dyDescent="0.25"/>
    <row r="99" spans="2:28" ht="15.75" customHeight="1" x14ac:dyDescent="0.25"/>
    <row r="100" spans="2:28" ht="15.75" customHeight="1" x14ac:dyDescent="0.25"/>
    <row r="101" spans="2:28" ht="15.75" customHeight="1" x14ac:dyDescent="0.25"/>
    <row r="102" spans="2:28" s="99" customFormat="1" ht="15.75" customHeight="1" x14ac:dyDescent="0.2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</row>
    <row r="103" spans="2:28" s="99" customFormat="1" ht="15.75" customHeight="1" x14ac:dyDescent="0.2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</row>
    <row r="104" spans="2:28" s="99" customFormat="1" ht="15.75" customHeight="1" x14ac:dyDescent="0.2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</row>
    <row r="105" spans="2:28" s="99" customFormat="1" ht="15.75" customHeight="1" x14ac:dyDescent="0.2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</row>
    <row r="106" spans="2:28" s="99" customFormat="1" ht="15.75" customHeight="1" x14ac:dyDescent="0.2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</row>
    <row r="107" spans="2:28" s="99" customFormat="1" ht="15.75" customHeight="1" x14ac:dyDescent="0.2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</row>
    <row r="108" spans="2:28" s="99" customFormat="1" ht="15.75" customHeight="1" x14ac:dyDescent="0.2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</row>
    <row r="109" spans="2:28" s="99" customFormat="1" ht="15.75" customHeight="1" x14ac:dyDescent="0.2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</row>
    <row r="110" spans="2:28" s="99" customFormat="1" ht="15.75" customHeight="1" x14ac:dyDescent="0.25"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</row>
    <row r="111" spans="2:28" s="99" customFormat="1" ht="15.75" customHeight="1" x14ac:dyDescent="0.25"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</row>
    <row r="112" spans="2:28" s="99" customFormat="1" ht="15.75" customHeight="1" x14ac:dyDescent="0.25"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</row>
    <row r="113" spans="2:28" s="99" customFormat="1" ht="15.75" customHeight="1" x14ac:dyDescent="0.25"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</row>
    <row r="114" spans="2:28" s="99" customFormat="1" ht="15.75" customHeight="1" x14ac:dyDescent="0.25"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</row>
    <row r="115" spans="2:28" s="99" customFormat="1" ht="15.75" customHeight="1" x14ac:dyDescent="0.25"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</row>
    <row r="116" spans="2:28" s="99" customFormat="1" ht="15.75" customHeight="1" x14ac:dyDescent="0.25"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</row>
    <row r="117" spans="2:28" s="99" customFormat="1" ht="15.75" customHeight="1" x14ac:dyDescent="0.25"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</row>
    <row r="118" spans="2:28" s="99" customFormat="1" ht="15.75" customHeight="1" x14ac:dyDescent="0.25"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</row>
    <row r="119" spans="2:28" s="99" customFormat="1" ht="15.75" customHeight="1" x14ac:dyDescent="0.25"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</row>
    <row r="120" spans="2:28" s="99" customFormat="1" ht="15.75" customHeight="1" x14ac:dyDescent="0.25"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</row>
    <row r="121" spans="2:28" s="99" customFormat="1" ht="15.75" customHeight="1" x14ac:dyDescent="0.25"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</row>
    <row r="122" spans="2:28" s="99" customFormat="1" ht="15.75" customHeight="1" x14ac:dyDescent="0.25"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</row>
    <row r="123" spans="2:28" s="99" customFormat="1" ht="15.75" customHeight="1" x14ac:dyDescent="0.25"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</row>
    <row r="124" spans="2:28" s="99" customFormat="1" ht="15.75" customHeight="1" x14ac:dyDescent="0.25"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</row>
    <row r="125" spans="2:28" s="99" customFormat="1" ht="15.75" customHeight="1" x14ac:dyDescent="0.25"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</row>
    <row r="126" spans="2:28" s="99" customFormat="1" ht="15.75" customHeight="1" x14ac:dyDescent="0.25"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</row>
    <row r="127" spans="2:28" s="99" customFormat="1" ht="15.75" customHeight="1" x14ac:dyDescent="0.25"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</row>
    <row r="128" spans="2:28" s="99" customFormat="1" ht="15.75" customHeight="1" x14ac:dyDescent="0.25"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</row>
    <row r="129" spans="2:28" s="99" customFormat="1" ht="15.75" customHeight="1" x14ac:dyDescent="0.25"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</row>
    <row r="130" spans="2:28" s="99" customFormat="1" ht="15.75" customHeight="1" x14ac:dyDescent="0.25"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</row>
    <row r="131" spans="2:28" s="99" customFormat="1" ht="15.75" customHeight="1" x14ac:dyDescent="0.25"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</row>
    <row r="132" spans="2:28" s="99" customFormat="1" ht="15.75" customHeight="1" x14ac:dyDescent="0.25"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</row>
    <row r="133" spans="2:28" s="99" customFormat="1" ht="15.75" customHeight="1" x14ac:dyDescent="0.25"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</row>
    <row r="134" spans="2:28" s="99" customFormat="1" ht="15.75" customHeight="1" x14ac:dyDescent="0.25"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</row>
    <row r="135" spans="2:28" s="99" customFormat="1" ht="15.75" customHeight="1" x14ac:dyDescent="0.25"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</row>
    <row r="136" spans="2:28" s="99" customFormat="1" ht="15.75" customHeight="1" x14ac:dyDescent="0.25"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</row>
    <row r="137" spans="2:28" s="99" customFormat="1" ht="15.75" customHeight="1" x14ac:dyDescent="0.25"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</row>
    <row r="138" spans="2:28" s="99" customFormat="1" ht="15.75" customHeight="1" x14ac:dyDescent="0.25"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</row>
    <row r="139" spans="2:28" s="99" customFormat="1" ht="15.75" customHeight="1" x14ac:dyDescent="0.25"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</row>
    <row r="140" spans="2:28" s="99" customFormat="1" ht="15.75" customHeight="1" x14ac:dyDescent="0.25"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</row>
    <row r="141" spans="2:28" s="99" customFormat="1" ht="15.75" customHeight="1" x14ac:dyDescent="0.25"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</row>
    <row r="142" spans="2:28" s="99" customFormat="1" ht="15.75" customHeight="1" x14ac:dyDescent="0.25"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</row>
    <row r="143" spans="2:28" s="99" customFormat="1" ht="15.75" customHeight="1" x14ac:dyDescent="0.25"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</row>
    <row r="144" spans="2:28" s="99" customFormat="1" ht="15.75" customHeight="1" x14ac:dyDescent="0.25"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</row>
    <row r="145" spans="2:28" s="99" customFormat="1" ht="15.75" customHeight="1" x14ac:dyDescent="0.25"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</row>
    <row r="146" spans="2:28" s="99" customFormat="1" ht="15.75" customHeight="1" x14ac:dyDescent="0.25"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</row>
    <row r="147" spans="2:28" s="99" customFormat="1" ht="15.75" customHeight="1" x14ac:dyDescent="0.25"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</row>
    <row r="148" spans="2:28" s="99" customFormat="1" ht="15.75" customHeight="1" x14ac:dyDescent="0.25"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</row>
    <row r="149" spans="2:28" s="99" customFormat="1" ht="15.75" customHeight="1" x14ac:dyDescent="0.25"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</row>
    <row r="150" spans="2:28" s="99" customFormat="1" ht="15.75" customHeight="1" x14ac:dyDescent="0.25"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</row>
    <row r="151" spans="2:28" s="99" customFormat="1" ht="15.75" customHeight="1" x14ac:dyDescent="0.25"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</row>
    <row r="152" spans="2:28" s="99" customFormat="1" ht="15.75" customHeight="1" x14ac:dyDescent="0.25"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</row>
    <row r="153" spans="2:28" s="99" customFormat="1" ht="15.75" customHeight="1" x14ac:dyDescent="0.25"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</row>
    <row r="154" spans="2:28" s="99" customFormat="1" ht="15.75" customHeight="1" x14ac:dyDescent="0.25"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</row>
    <row r="155" spans="2:28" s="99" customFormat="1" ht="15.75" customHeight="1" x14ac:dyDescent="0.25"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</row>
    <row r="156" spans="2:28" s="99" customFormat="1" ht="15.75" customHeight="1" x14ac:dyDescent="0.25"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</row>
    <row r="157" spans="2:28" s="99" customFormat="1" ht="15.75" customHeight="1" x14ac:dyDescent="0.25"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</row>
    <row r="158" spans="2:28" s="99" customFormat="1" ht="15.75" customHeight="1" x14ac:dyDescent="0.25"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</row>
    <row r="159" spans="2:28" s="99" customFormat="1" ht="15.75" customHeight="1" x14ac:dyDescent="0.25"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</row>
    <row r="160" spans="2:28" s="99" customFormat="1" ht="15.75" customHeight="1" x14ac:dyDescent="0.25"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</row>
    <row r="161" spans="2:28" s="99" customFormat="1" ht="15.75" customHeight="1" x14ac:dyDescent="0.25"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</row>
    <row r="162" spans="2:28" s="99" customFormat="1" ht="15.75" customHeight="1" x14ac:dyDescent="0.25"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</row>
    <row r="163" spans="2:28" s="99" customFormat="1" ht="15.75" customHeight="1" x14ac:dyDescent="0.25"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</row>
    <row r="164" spans="2:28" s="99" customFormat="1" ht="15.75" customHeight="1" x14ac:dyDescent="0.25"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</row>
    <row r="165" spans="2:28" s="99" customFormat="1" ht="15.75" customHeight="1" x14ac:dyDescent="0.25"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</row>
    <row r="166" spans="2:28" s="99" customFormat="1" ht="15.75" customHeight="1" x14ac:dyDescent="0.25"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</row>
    <row r="167" spans="2:28" s="99" customFormat="1" ht="15.75" customHeight="1" x14ac:dyDescent="0.25"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</row>
    <row r="168" spans="2:28" s="99" customFormat="1" ht="15.75" customHeight="1" x14ac:dyDescent="0.25"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</row>
    <row r="169" spans="2:28" s="99" customFormat="1" ht="15.75" customHeight="1" x14ac:dyDescent="0.25"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</row>
    <row r="170" spans="2:28" s="99" customFormat="1" ht="15.75" customHeight="1" x14ac:dyDescent="0.25"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</row>
    <row r="171" spans="2:28" s="99" customFormat="1" ht="15.75" customHeight="1" x14ac:dyDescent="0.25"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</row>
    <row r="172" spans="2:28" s="99" customFormat="1" ht="15.75" customHeight="1" x14ac:dyDescent="0.25"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</row>
    <row r="173" spans="2:28" s="99" customFormat="1" ht="15.75" customHeight="1" x14ac:dyDescent="0.25"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</row>
    <row r="174" spans="2:28" s="99" customFormat="1" ht="15.75" customHeight="1" x14ac:dyDescent="0.25"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</row>
    <row r="175" spans="2:28" s="99" customFormat="1" ht="15.75" customHeight="1" x14ac:dyDescent="0.25"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</row>
    <row r="176" spans="2:28" s="99" customFormat="1" ht="15.75" customHeight="1" x14ac:dyDescent="0.25"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</row>
    <row r="177" spans="2:28" s="99" customFormat="1" ht="15.75" customHeight="1" x14ac:dyDescent="0.25"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</row>
    <row r="178" spans="2:28" s="99" customFormat="1" ht="15.75" customHeight="1" x14ac:dyDescent="0.25"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</row>
    <row r="179" spans="2:28" s="99" customFormat="1" ht="15.75" customHeight="1" x14ac:dyDescent="0.25"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</row>
    <row r="180" spans="2:28" s="99" customFormat="1" ht="15.75" customHeight="1" x14ac:dyDescent="0.25"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</row>
    <row r="181" spans="2:28" s="99" customFormat="1" ht="15.75" customHeight="1" x14ac:dyDescent="0.25"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</row>
    <row r="182" spans="2:28" s="99" customFormat="1" ht="15.75" customHeight="1" x14ac:dyDescent="0.25"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</row>
    <row r="183" spans="2:28" s="99" customFormat="1" ht="15.75" customHeight="1" x14ac:dyDescent="0.25"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</row>
    <row r="184" spans="2:28" s="99" customFormat="1" ht="15.75" customHeight="1" x14ac:dyDescent="0.25"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</row>
    <row r="185" spans="2:28" s="99" customFormat="1" ht="15.75" customHeight="1" x14ac:dyDescent="0.25"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</row>
    <row r="186" spans="2:28" s="99" customFormat="1" ht="15.75" customHeight="1" x14ac:dyDescent="0.25"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</row>
    <row r="187" spans="2:28" s="99" customFormat="1" ht="15.75" customHeight="1" x14ac:dyDescent="0.25"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</row>
    <row r="188" spans="2:28" s="99" customFormat="1" ht="15.75" customHeight="1" x14ac:dyDescent="0.25"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</row>
    <row r="189" spans="2:28" s="99" customFormat="1" ht="15.75" customHeight="1" x14ac:dyDescent="0.25"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</row>
    <row r="190" spans="2:28" s="99" customFormat="1" ht="15.75" customHeight="1" x14ac:dyDescent="0.25"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</row>
    <row r="191" spans="2:28" s="99" customFormat="1" ht="15.75" customHeight="1" x14ac:dyDescent="0.25"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</row>
    <row r="192" spans="2:28" s="99" customFormat="1" ht="15.75" customHeight="1" x14ac:dyDescent="0.25"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</row>
    <row r="193" spans="2:28" s="99" customFormat="1" ht="15.75" customHeight="1" x14ac:dyDescent="0.25"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</row>
    <row r="194" spans="2:28" s="99" customFormat="1" ht="15.75" customHeight="1" x14ac:dyDescent="0.25"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</row>
    <row r="195" spans="2:28" s="99" customFormat="1" ht="15.75" customHeight="1" x14ac:dyDescent="0.25"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</row>
    <row r="196" spans="2:28" s="99" customFormat="1" ht="15.75" customHeight="1" x14ac:dyDescent="0.25"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</row>
    <row r="197" spans="2:28" s="99" customFormat="1" ht="15.75" customHeight="1" x14ac:dyDescent="0.25"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</row>
    <row r="198" spans="2:28" s="99" customFormat="1" ht="15.75" customHeight="1" x14ac:dyDescent="0.25"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</row>
    <row r="199" spans="2:28" s="99" customFormat="1" ht="15.75" customHeight="1" x14ac:dyDescent="0.25"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</row>
    <row r="200" spans="2:28" s="99" customFormat="1" ht="15.75" customHeight="1" x14ac:dyDescent="0.25"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</row>
    <row r="201" spans="2:28" s="99" customFormat="1" ht="15.75" customHeight="1" x14ac:dyDescent="0.25"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</row>
    <row r="202" spans="2:28" s="99" customFormat="1" ht="15.75" customHeight="1" x14ac:dyDescent="0.25"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</row>
    <row r="203" spans="2:28" s="99" customFormat="1" ht="15.75" customHeight="1" x14ac:dyDescent="0.25"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</row>
    <row r="204" spans="2:28" s="99" customFormat="1" ht="15.75" customHeight="1" x14ac:dyDescent="0.25"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</row>
    <row r="205" spans="2:28" s="99" customFormat="1" ht="15.75" customHeight="1" x14ac:dyDescent="0.25"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</row>
    <row r="206" spans="2:28" s="99" customFormat="1" ht="15.75" customHeight="1" x14ac:dyDescent="0.25"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</row>
    <row r="207" spans="2:28" s="99" customFormat="1" ht="15.75" customHeight="1" x14ac:dyDescent="0.25"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</row>
    <row r="208" spans="2:28" s="99" customFormat="1" ht="15.75" customHeight="1" x14ac:dyDescent="0.25"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</row>
    <row r="209" spans="2:28" s="99" customFormat="1" ht="15.75" customHeight="1" x14ac:dyDescent="0.25"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</row>
    <row r="210" spans="2:28" s="99" customFormat="1" ht="15.75" customHeight="1" x14ac:dyDescent="0.25"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</row>
    <row r="211" spans="2:28" s="99" customFormat="1" ht="15.75" customHeight="1" x14ac:dyDescent="0.25"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</row>
    <row r="212" spans="2:28" s="99" customFormat="1" ht="15.75" customHeight="1" x14ac:dyDescent="0.25"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</row>
    <row r="213" spans="2:28" s="99" customFormat="1" ht="15.75" customHeight="1" x14ac:dyDescent="0.25"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</row>
    <row r="214" spans="2:28" s="99" customFormat="1" ht="15.75" customHeight="1" x14ac:dyDescent="0.25"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</row>
    <row r="215" spans="2:28" s="99" customFormat="1" ht="15.75" customHeight="1" x14ac:dyDescent="0.25"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</row>
    <row r="216" spans="2:28" s="99" customFormat="1" ht="15.75" customHeight="1" x14ac:dyDescent="0.25"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</row>
    <row r="217" spans="2:28" s="99" customFormat="1" ht="15.75" customHeight="1" x14ac:dyDescent="0.25"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</row>
    <row r="218" spans="2:28" s="99" customFormat="1" ht="15.75" customHeight="1" x14ac:dyDescent="0.25"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</row>
    <row r="219" spans="2:28" s="99" customFormat="1" ht="15.75" customHeight="1" x14ac:dyDescent="0.25"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</row>
    <row r="220" spans="2:28" s="99" customFormat="1" ht="15.75" customHeight="1" x14ac:dyDescent="0.25"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</row>
    <row r="221" spans="2:28" s="99" customFormat="1" ht="15.75" customHeight="1" x14ac:dyDescent="0.25"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</row>
    <row r="222" spans="2:28" s="99" customFormat="1" ht="15.75" customHeight="1" x14ac:dyDescent="0.25"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</row>
    <row r="223" spans="2:28" s="99" customFormat="1" ht="15.75" customHeight="1" x14ac:dyDescent="0.25"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</row>
    <row r="224" spans="2:28" s="99" customFormat="1" ht="15.75" customHeight="1" x14ac:dyDescent="0.25"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</row>
    <row r="225" spans="2:28" s="99" customFormat="1" ht="15.75" customHeight="1" x14ac:dyDescent="0.25"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</row>
    <row r="226" spans="2:28" s="99" customFormat="1" ht="15.75" customHeight="1" x14ac:dyDescent="0.25"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</row>
    <row r="227" spans="2:28" s="99" customFormat="1" ht="15.75" customHeight="1" x14ac:dyDescent="0.25"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</row>
    <row r="228" spans="2:28" s="99" customFormat="1" ht="15.75" customHeight="1" x14ac:dyDescent="0.25"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</row>
    <row r="229" spans="2:28" s="99" customFormat="1" ht="15.75" customHeight="1" x14ac:dyDescent="0.25"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</row>
    <row r="230" spans="2:28" s="99" customFormat="1" ht="15.75" customHeight="1" x14ac:dyDescent="0.25"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</row>
    <row r="231" spans="2:28" s="99" customFormat="1" ht="15.75" customHeight="1" x14ac:dyDescent="0.25"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</row>
    <row r="232" spans="2:28" s="99" customFormat="1" ht="15.75" customHeight="1" x14ac:dyDescent="0.25"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</row>
    <row r="233" spans="2:28" s="99" customFormat="1" ht="15.75" customHeight="1" x14ac:dyDescent="0.25"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</row>
    <row r="234" spans="2:28" s="99" customFormat="1" ht="15.75" customHeight="1" x14ac:dyDescent="0.25"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</row>
    <row r="235" spans="2:28" s="99" customFormat="1" ht="15.75" customHeight="1" x14ac:dyDescent="0.25"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</row>
    <row r="236" spans="2:28" s="99" customFormat="1" ht="15.75" customHeight="1" x14ac:dyDescent="0.25"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</row>
    <row r="237" spans="2:28" s="99" customFormat="1" ht="15.75" customHeight="1" x14ac:dyDescent="0.25"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</row>
    <row r="238" spans="2:28" s="99" customFormat="1" ht="15.75" customHeight="1" x14ac:dyDescent="0.25"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</row>
    <row r="239" spans="2:28" s="99" customFormat="1" ht="15.75" customHeight="1" x14ac:dyDescent="0.25"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</row>
    <row r="240" spans="2:28" s="99" customFormat="1" ht="15.75" customHeight="1" x14ac:dyDescent="0.25"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</row>
    <row r="241" spans="2:28" s="99" customFormat="1" ht="15.75" customHeight="1" x14ac:dyDescent="0.25"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</row>
    <row r="242" spans="2:28" s="99" customFormat="1" ht="15.75" customHeight="1" x14ac:dyDescent="0.25"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</row>
    <row r="243" spans="2:28" s="99" customFormat="1" ht="15.75" customHeight="1" x14ac:dyDescent="0.25"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</row>
    <row r="244" spans="2:28" s="99" customFormat="1" ht="15.75" customHeight="1" x14ac:dyDescent="0.25"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</row>
    <row r="245" spans="2:28" s="99" customFormat="1" ht="15.75" customHeight="1" x14ac:dyDescent="0.25"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</row>
    <row r="246" spans="2:28" s="99" customFormat="1" ht="15.75" customHeight="1" x14ac:dyDescent="0.25"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</row>
    <row r="247" spans="2:28" s="99" customFormat="1" ht="15.75" customHeight="1" x14ac:dyDescent="0.25"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</row>
    <row r="248" spans="2:28" s="99" customFormat="1" ht="15.75" customHeight="1" x14ac:dyDescent="0.25"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</row>
    <row r="249" spans="2:28" s="99" customFormat="1" ht="15.75" customHeight="1" x14ac:dyDescent="0.25"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96"/>
    </row>
    <row r="250" spans="2:28" s="99" customFormat="1" ht="15.75" customHeight="1" x14ac:dyDescent="0.25"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</row>
    <row r="251" spans="2:28" s="99" customFormat="1" ht="15.75" customHeight="1" x14ac:dyDescent="0.25"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</row>
    <row r="252" spans="2:28" s="99" customFormat="1" ht="15.75" customHeight="1" x14ac:dyDescent="0.25"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</row>
    <row r="253" spans="2:28" s="99" customFormat="1" ht="15.75" customHeight="1" x14ac:dyDescent="0.25"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</row>
    <row r="254" spans="2:28" s="99" customFormat="1" ht="15.75" customHeight="1" x14ac:dyDescent="0.25"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6"/>
      <c r="AB254" s="96"/>
    </row>
    <row r="255" spans="2:28" s="99" customFormat="1" ht="15.75" customHeight="1" x14ac:dyDescent="0.25"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6"/>
      <c r="AB255" s="96"/>
    </row>
    <row r="256" spans="2:28" s="99" customFormat="1" ht="15.75" customHeight="1" x14ac:dyDescent="0.25"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  <c r="AA256" s="96"/>
      <c r="AB256" s="96"/>
    </row>
    <row r="257" spans="2:28" s="99" customFormat="1" ht="15.75" customHeight="1" x14ac:dyDescent="0.25"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  <c r="AA257" s="96"/>
      <c r="AB257" s="96"/>
    </row>
    <row r="258" spans="2:28" s="99" customFormat="1" ht="15.75" customHeight="1" x14ac:dyDescent="0.25"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6"/>
      <c r="AB258" s="96"/>
    </row>
    <row r="259" spans="2:28" s="99" customFormat="1" ht="15.75" customHeight="1" x14ac:dyDescent="0.25"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  <c r="AA259" s="96"/>
      <c r="AB259" s="96"/>
    </row>
    <row r="260" spans="2:28" s="99" customFormat="1" ht="15.75" customHeight="1" x14ac:dyDescent="0.25"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  <c r="AA260" s="96"/>
      <c r="AB260" s="96"/>
    </row>
    <row r="261" spans="2:28" s="99" customFormat="1" ht="15.75" customHeight="1" x14ac:dyDescent="0.25"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  <c r="AA261" s="96"/>
      <c r="AB261" s="96"/>
    </row>
    <row r="262" spans="2:28" s="99" customFormat="1" ht="15.75" customHeight="1" x14ac:dyDescent="0.25"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  <c r="AA262" s="96"/>
      <c r="AB262" s="96"/>
    </row>
    <row r="263" spans="2:28" s="99" customFormat="1" ht="15.75" customHeight="1" x14ac:dyDescent="0.25"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  <c r="AA263" s="96"/>
      <c r="AB263" s="96"/>
    </row>
    <row r="264" spans="2:28" s="99" customFormat="1" ht="15.75" customHeight="1" x14ac:dyDescent="0.25"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  <c r="AA264" s="96"/>
      <c r="AB264" s="96"/>
    </row>
    <row r="265" spans="2:28" s="99" customFormat="1" ht="15.75" customHeight="1" x14ac:dyDescent="0.25"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  <c r="AA265" s="96"/>
      <c r="AB265" s="96"/>
    </row>
    <row r="266" spans="2:28" s="99" customFormat="1" ht="15.75" customHeight="1" x14ac:dyDescent="0.25"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  <c r="AA266" s="96"/>
      <c r="AB266" s="96"/>
    </row>
    <row r="267" spans="2:28" s="99" customFormat="1" ht="15.75" customHeight="1" x14ac:dyDescent="0.25"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6"/>
      <c r="AB267" s="96"/>
    </row>
    <row r="268" spans="2:28" s="99" customFormat="1" ht="15.75" customHeight="1" x14ac:dyDescent="0.25"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  <c r="AA268" s="96"/>
      <c r="AB268" s="96"/>
    </row>
    <row r="269" spans="2:28" s="99" customFormat="1" ht="15.75" customHeight="1" x14ac:dyDescent="0.25"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  <c r="AA269" s="96"/>
      <c r="AB269" s="96"/>
    </row>
    <row r="270" spans="2:28" s="99" customFormat="1" ht="15.75" customHeight="1" x14ac:dyDescent="0.25"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6"/>
      <c r="AB270" s="96"/>
    </row>
    <row r="271" spans="2:28" s="99" customFormat="1" ht="15.75" customHeight="1" x14ac:dyDescent="0.25"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6"/>
    </row>
    <row r="272" spans="2:28" s="99" customFormat="1" ht="15.75" customHeight="1" x14ac:dyDescent="0.25"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96"/>
    </row>
    <row r="273" spans="2:28" s="99" customFormat="1" ht="15.75" customHeight="1" x14ac:dyDescent="0.25"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96"/>
    </row>
    <row r="274" spans="2:28" s="99" customFormat="1" ht="15.75" customHeight="1" x14ac:dyDescent="0.25"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  <c r="AB274" s="96"/>
    </row>
    <row r="275" spans="2:28" s="99" customFormat="1" ht="15.75" customHeight="1" x14ac:dyDescent="0.25"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96"/>
    </row>
    <row r="276" spans="2:28" s="99" customFormat="1" ht="15.75" customHeight="1" x14ac:dyDescent="0.25"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6"/>
      <c r="AB276" s="96"/>
    </row>
    <row r="277" spans="2:28" s="99" customFormat="1" ht="15.75" customHeight="1" x14ac:dyDescent="0.25"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6"/>
      <c r="AB277" s="96"/>
    </row>
    <row r="278" spans="2:28" s="99" customFormat="1" ht="15.75" customHeight="1" x14ac:dyDescent="0.25"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  <c r="AB278" s="96"/>
    </row>
    <row r="279" spans="2:28" s="99" customFormat="1" ht="15.75" customHeight="1" x14ac:dyDescent="0.25"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6"/>
    </row>
    <row r="280" spans="2:28" s="99" customFormat="1" ht="15.75" customHeight="1" x14ac:dyDescent="0.25"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6"/>
      <c r="AB280" s="96"/>
    </row>
    <row r="281" spans="2:28" s="99" customFormat="1" ht="15.75" customHeight="1" x14ac:dyDescent="0.25"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6"/>
      <c r="AB281" s="96"/>
    </row>
    <row r="282" spans="2:28" s="99" customFormat="1" ht="15.75" customHeight="1" x14ac:dyDescent="0.25"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6"/>
      <c r="AB282" s="96"/>
    </row>
    <row r="283" spans="2:28" s="99" customFormat="1" ht="15.75" customHeight="1" x14ac:dyDescent="0.25"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  <c r="AB283" s="96"/>
    </row>
    <row r="284" spans="2:28" s="99" customFormat="1" ht="15.75" customHeight="1" x14ac:dyDescent="0.25"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  <c r="AB284" s="96"/>
    </row>
    <row r="285" spans="2:28" s="99" customFormat="1" ht="15.75" customHeight="1" x14ac:dyDescent="0.25"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96"/>
    </row>
    <row r="286" spans="2:28" s="99" customFormat="1" ht="15.75" customHeight="1" x14ac:dyDescent="0.25"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  <c r="AB286" s="96"/>
    </row>
    <row r="287" spans="2:28" s="99" customFormat="1" ht="15.75" customHeight="1" x14ac:dyDescent="0.25"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  <c r="AB287" s="96"/>
    </row>
    <row r="288" spans="2:28" s="99" customFormat="1" ht="15.75" customHeight="1" x14ac:dyDescent="0.25"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  <c r="AA288" s="96"/>
      <c r="AB288" s="96"/>
    </row>
    <row r="289" spans="2:28" s="99" customFormat="1" ht="15.75" customHeight="1" x14ac:dyDescent="0.25"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  <c r="AA289" s="96"/>
      <c r="AB289" s="96"/>
    </row>
    <row r="290" spans="2:28" s="99" customFormat="1" ht="15.75" customHeight="1" x14ac:dyDescent="0.25"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  <c r="AA290" s="96"/>
      <c r="AB290" s="96"/>
    </row>
    <row r="291" spans="2:28" s="99" customFormat="1" ht="15.75" customHeight="1" x14ac:dyDescent="0.25"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  <c r="AA291" s="96"/>
      <c r="AB291" s="96"/>
    </row>
    <row r="292" spans="2:28" s="99" customFormat="1" ht="15.75" customHeight="1" x14ac:dyDescent="0.25"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  <c r="AA292" s="96"/>
      <c r="AB292" s="96"/>
    </row>
    <row r="293" spans="2:28" s="99" customFormat="1" ht="15.75" customHeight="1" x14ac:dyDescent="0.25"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  <c r="AA293" s="96"/>
      <c r="AB293" s="96"/>
    </row>
    <row r="294" spans="2:28" s="99" customFormat="1" ht="15.75" customHeight="1" x14ac:dyDescent="0.25"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  <c r="AA294" s="96"/>
      <c r="AB294" s="96"/>
    </row>
    <row r="295" spans="2:28" s="99" customFormat="1" ht="15.75" customHeight="1" x14ac:dyDescent="0.25"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  <c r="AA295" s="96"/>
      <c r="AB295" s="96"/>
    </row>
    <row r="296" spans="2:28" s="99" customFormat="1" ht="15.75" customHeight="1" x14ac:dyDescent="0.25"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  <c r="AA296" s="96"/>
      <c r="AB296" s="96"/>
    </row>
    <row r="297" spans="2:28" s="99" customFormat="1" ht="15.75" customHeight="1" x14ac:dyDescent="0.25"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  <c r="AA297" s="96"/>
      <c r="AB297" s="96"/>
    </row>
    <row r="298" spans="2:28" s="99" customFormat="1" ht="15.75" customHeight="1" x14ac:dyDescent="0.25"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  <c r="AA298" s="96"/>
      <c r="AB298" s="96"/>
    </row>
    <row r="299" spans="2:28" s="99" customFormat="1" ht="15.75" customHeight="1" x14ac:dyDescent="0.25"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  <c r="AA299" s="96"/>
      <c r="AB299" s="96"/>
    </row>
    <row r="300" spans="2:28" s="99" customFormat="1" ht="15.75" customHeight="1" x14ac:dyDescent="0.25"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  <c r="AA300" s="96"/>
      <c r="AB300" s="96"/>
    </row>
    <row r="301" spans="2:28" s="99" customFormat="1" ht="15.75" customHeight="1" x14ac:dyDescent="0.25"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  <c r="AA301" s="96"/>
      <c r="AB301" s="96"/>
    </row>
    <row r="302" spans="2:28" s="99" customFormat="1" ht="15.75" customHeight="1" x14ac:dyDescent="0.25"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  <c r="AA302" s="96"/>
      <c r="AB302" s="96"/>
    </row>
    <row r="303" spans="2:28" s="99" customFormat="1" ht="15.75" customHeight="1" x14ac:dyDescent="0.25"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  <c r="AA303" s="96"/>
      <c r="AB303" s="96"/>
    </row>
    <row r="304" spans="2:28" s="99" customFormat="1" ht="15.75" customHeight="1" x14ac:dyDescent="0.25"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  <c r="AA304" s="96"/>
      <c r="AB304" s="96"/>
    </row>
    <row r="305" spans="2:28" s="99" customFormat="1" ht="15.75" customHeight="1" x14ac:dyDescent="0.25"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  <c r="AA305" s="96"/>
      <c r="AB305" s="96"/>
    </row>
    <row r="306" spans="2:28" s="99" customFormat="1" ht="15.75" customHeight="1" x14ac:dyDescent="0.25"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  <c r="AA306" s="96"/>
      <c r="AB306" s="96"/>
    </row>
    <row r="307" spans="2:28" s="99" customFormat="1" ht="15.75" customHeight="1" x14ac:dyDescent="0.25"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  <c r="AA307" s="96"/>
      <c r="AB307" s="96"/>
    </row>
    <row r="308" spans="2:28" s="99" customFormat="1" ht="15.75" customHeight="1" x14ac:dyDescent="0.25"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  <c r="AA308" s="96"/>
      <c r="AB308" s="96"/>
    </row>
    <row r="309" spans="2:28" s="99" customFormat="1" ht="15.75" customHeight="1" x14ac:dyDescent="0.25"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  <c r="AA309" s="96"/>
      <c r="AB309" s="96"/>
    </row>
    <row r="310" spans="2:28" s="99" customFormat="1" ht="15.75" customHeight="1" x14ac:dyDescent="0.25"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  <c r="AA310" s="96"/>
      <c r="AB310" s="96"/>
    </row>
    <row r="311" spans="2:28" s="99" customFormat="1" ht="15.75" customHeight="1" x14ac:dyDescent="0.25"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  <c r="AA311" s="96"/>
      <c r="AB311" s="96"/>
    </row>
    <row r="312" spans="2:28" s="99" customFormat="1" ht="15.75" customHeight="1" x14ac:dyDescent="0.25"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  <c r="AA312" s="96"/>
      <c r="AB312" s="96"/>
    </row>
    <row r="313" spans="2:28" s="99" customFormat="1" ht="15.75" customHeight="1" x14ac:dyDescent="0.25"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  <c r="AA313" s="96"/>
      <c r="AB313" s="96"/>
    </row>
    <row r="314" spans="2:28" s="99" customFormat="1" ht="15.75" customHeight="1" x14ac:dyDescent="0.25"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  <c r="AA314" s="96"/>
      <c r="AB314" s="96"/>
    </row>
    <row r="315" spans="2:28" s="99" customFormat="1" ht="15.75" customHeight="1" x14ac:dyDescent="0.25"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  <c r="AA315" s="96"/>
      <c r="AB315" s="96"/>
    </row>
    <row r="316" spans="2:28" s="99" customFormat="1" ht="15.75" customHeight="1" x14ac:dyDescent="0.25"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  <c r="AA316" s="96"/>
      <c r="AB316" s="96"/>
    </row>
    <row r="317" spans="2:28" s="99" customFormat="1" ht="15.75" customHeight="1" x14ac:dyDescent="0.25"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  <c r="AA317" s="96"/>
      <c r="AB317" s="96"/>
    </row>
    <row r="318" spans="2:28" s="99" customFormat="1" ht="15.75" customHeight="1" x14ac:dyDescent="0.25"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  <c r="AA318" s="96"/>
      <c r="AB318" s="96"/>
    </row>
    <row r="319" spans="2:28" s="99" customFormat="1" ht="15.75" customHeight="1" x14ac:dyDescent="0.25"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  <c r="AA319" s="96"/>
      <c r="AB319" s="96"/>
    </row>
    <row r="320" spans="2:28" s="99" customFormat="1" ht="15.75" customHeight="1" x14ac:dyDescent="0.25"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  <c r="AA320" s="96"/>
      <c r="AB320" s="96"/>
    </row>
    <row r="321" spans="2:28" s="99" customFormat="1" ht="15.75" customHeight="1" x14ac:dyDescent="0.25"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  <c r="AA321" s="96"/>
      <c r="AB321" s="96"/>
    </row>
    <row r="322" spans="2:28" s="99" customFormat="1" ht="15.75" customHeight="1" x14ac:dyDescent="0.25"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  <c r="AA322" s="96"/>
      <c r="AB322" s="96"/>
    </row>
    <row r="323" spans="2:28" s="99" customFormat="1" ht="15.75" customHeight="1" x14ac:dyDescent="0.25"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  <c r="AA323" s="96"/>
      <c r="AB323" s="96"/>
    </row>
    <row r="324" spans="2:28" s="99" customFormat="1" ht="15.75" customHeight="1" x14ac:dyDescent="0.25"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  <c r="AA324" s="96"/>
      <c r="AB324" s="96"/>
    </row>
    <row r="325" spans="2:28" s="99" customFormat="1" ht="15.75" customHeight="1" x14ac:dyDescent="0.25"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  <c r="AA325" s="96"/>
      <c r="AB325" s="96"/>
    </row>
    <row r="326" spans="2:28" s="99" customFormat="1" ht="15.75" customHeight="1" x14ac:dyDescent="0.25"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  <c r="AA326" s="96"/>
      <c r="AB326" s="96"/>
    </row>
    <row r="327" spans="2:28" s="99" customFormat="1" ht="15.75" customHeight="1" x14ac:dyDescent="0.25"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  <c r="AA327" s="96"/>
      <c r="AB327" s="96"/>
    </row>
    <row r="328" spans="2:28" s="99" customFormat="1" ht="15.75" customHeight="1" x14ac:dyDescent="0.25"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  <c r="AA328" s="96"/>
      <c r="AB328" s="96"/>
    </row>
    <row r="329" spans="2:28" s="99" customFormat="1" ht="15.75" customHeight="1" x14ac:dyDescent="0.25"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  <c r="AA329" s="96"/>
      <c r="AB329" s="96"/>
    </row>
    <row r="330" spans="2:28" s="99" customFormat="1" ht="15.75" customHeight="1" x14ac:dyDescent="0.25"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  <c r="AA330" s="96"/>
      <c r="AB330" s="96"/>
    </row>
    <row r="331" spans="2:28" s="99" customFormat="1" ht="15.75" customHeight="1" x14ac:dyDescent="0.25"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  <c r="AA331" s="96"/>
      <c r="AB331" s="96"/>
    </row>
    <row r="332" spans="2:28" s="99" customFormat="1" ht="15.75" customHeight="1" x14ac:dyDescent="0.25"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  <c r="AA332" s="96"/>
      <c r="AB332" s="96"/>
    </row>
    <row r="333" spans="2:28" s="99" customFormat="1" ht="15.75" customHeight="1" x14ac:dyDescent="0.25"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  <c r="AA333" s="96"/>
      <c r="AB333" s="96"/>
    </row>
    <row r="334" spans="2:28" s="99" customFormat="1" ht="15.75" customHeight="1" x14ac:dyDescent="0.25"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  <c r="AA334" s="96"/>
      <c r="AB334" s="96"/>
    </row>
    <row r="335" spans="2:28" s="99" customFormat="1" ht="15.75" customHeight="1" x14ac:dyDescent="0.25"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  <c r="AA335" s="96"/>
      <c r="AB335" s="96"/>
    </row>
    <row r="336" spans="2:28" s="99" customFormat="1" ht="15.75" customHeight="1" x14ac:dyDescent="0.25"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  <c r="AA336" s="96"/>
      <c r="AB336" s="96"/>
    </row>
    <row r="337" spans="2:28" s="99" customFormat="1" ht="15.75" customHeight="1" x14ac:dyDescent="0.25"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  <c r="AA337" s="96"/>
      <c r="AB337" s="96"/>
    </row>
    <row r="338" spans="2:28" s="99" customFormat="1" ht="15.75" customHeight="1" x14ac:dyDescent="0.25"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  <c r="AA338" s="96"/>
      <c r="AB338" s="96"/>
    </row>
    <row r="339" spans="2:28" s="99" customFormat="1" ht="15.75" customHeight="1" x14ac:dyDescent="0.25"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  <c r="AA339" s="96"/>
      <c r="AB339" s="96"/>
    </row>
    <row r="340" spans="2:28" s="99" customFormat="1" ht="15.75" customHeight="1" x14ac:dyDescent="0.25"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  <c r="AA340" s="96"/>
      <c r="AB340" s="96"/>
    </row>
    <row r="341" spans="2:28" s="99" customFormat="1" ht="15.75" customHeight="1" x14ac:dyDescent="0.25"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  <c r="AA341" s="96"/>
      <c r="AB341" s="96"/>
    </row>
    <row r="342" spans="2:28" s="99" customFormat="1" ht="15.75" customHeight="1" x14ac:dyDescent="0.25"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  <c r="AA342" s="96"/>
      <c r="AB342" s="96"/>
    </row>
    <row r="343" spans="2:28" s="99" customFormat="1" ht="15.75" customHeight="1" x14ac:dyDescent="0.25"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  <c r="AA343" s="96"/>
      <c r="AB343" s="96"/>
    </row>
    <row r="344" spans="2:28" s="99" customFormat="1" ht="15.75" customHeight="1" x14ac:dyDescent="0.25"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  <c r="AA344" s="96"/>
      <c r="AB344" s="96"/>
    </row>
    <row r="345" spans="2:28" s="99" customFormat="1" ht="15.75" customHeight="1" x14ac:dyDescent="0.25"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  <c r="AA345" s="96"/>
      <c r="AB345" s="96"/>
    </row>
    <row r="346" spans="2:28" s="99" customFormat="1" ht="15.75" customHeight="1" x14ac:dyDescent="0.25"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  <c r="AA346" s="96"/>
      <c r="AB346" s="96"/>
    </row>
    <row r="347" spans="2:28" s="99" customFormat="1" ht="15.75" customHeight="1" x14ac:dyDescent="0.25"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  <c r="AA347" s="96"/>
      <c r="AB347" s="96"/>
    </row>
    <row r="348" spans="2:28" s="99" customFormat="1" ht="15.75" customHeight="1" x14ac:dyDescent="0.25"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  <c r="AA348" s="96"/>
      <c r="AB348" s="96"/>
    </row>
    <row r="349" spans="2:28" s="99" customFormat="1" ht="15.75" customHeight="1" x14ac:dyDescent="0.25"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  <c r="AA349" s="96"/>
      <c r="AB349" s="96"/>
    </row>
    <row r="350" spans="2:28" s="99" customFormat="1" ht="15.75" customHeight="1" x14ac:dyDescent="0.25"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  <c r="AA350" s="96"/>
      <c r="AB350" s="96"/>
    </row>
    <row r="351" spans="2:28" s="99" customFormat="1" ht="15.75" customHeight="1" x14ac:dyDescent="0.25"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  <c r="AA351" s="96"/>
      <c r="AB351" s="96"/>
    </row>
    <row r="352" spans="2:28" s="99" customFormat="1" ht="15.75" customHeight="1" x14ac:dyDescent="0.25"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  <c r="AA352" s="96"/>
      <c r="AB352" s="96"/>
    </row>
    <row r="353" spans="2:28" s="99" customFormat="1" ht="15.75" customHeight="1" x14ac:dyDescent="0.25"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  <c r="AA353" s="96"/>
      <c r="AB353" s="96"/>
    </row>
    <row r="354" spans="2:28" s="99" customFormat="1" ht="15.75" customHeight="1" x14ac:dyDescent="0.25"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  <c r="AA354" s="96"/>
      <c r="AB354" s="96"/>
    </row>
    <row r="355" spans="2:28" s="99" customFormat="1" ht="15.75" customHeight="1" x14ac:dyDescent="0.25"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  <c r="AA355" s="96"/>
      <c r="AB355" s="96"/>
    </row>
    <row r="356" spans="2:28" s="99" customFormat="1" ht="15.75" customHeight="1" x14ac:dyDescent="0.25"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  <c r="AA356" s="96"/>
      <c r="AB356" s="96"/>
    </row>
    <row r="357" spans="2:28" s="99" customFormat="1" ht="15.75" customHeight="1" x14ac:dyDescent="0.25"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  <c r="AA357" s="96"/>
      <c r="AB357" s="96"/>
    </row>
    <row r="358" spans="2:28" s="99" customFormat="1" ht="15.75" customHeight="1" x14ac:dyDescent="0.25"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  <c r="AA358" s="96"/>
      <c r="AB358" s="96"/>
    </row>
    <row r="359" spans="2:28" s="99" customFormat="1" ht="15.75" customHeight="1" x14ac:dyDescent="0.25"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  <c r="AA359" s="96"/>
      <c r="AB359" s="96"/>
    </row>
    <row r="360" spans="2:28" s="99" customFormat="1" ht="15.75" customHeight="1" x14ac:dyDescent="0.25"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  <c r="AA360" s="96"/>
      <c r="AB360" s="96"/>
    </row>
    <row r="361" spans="2:28" s="99" customFormat="1" ht="15.75" customHeight="1" x14ac:dyDescent="0.25"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  <c r="AA361" s="96"/>
      <c r="AB361" s="96"/>
    </row>
    <row r="362" spans="2:28" s="99" customFormat="1" ht="15.75" customHeight="1" x14ac:dyDescent="0.25"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  <c r="AA362" s="96"/>
      <c r="AB362" s="96"/>
    </row>
    <row r="363" spans="2:28" s="99" customFormat="1" ht="15.75" customHeight="1" x14ac:dyDescent="0.25"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  <c r="AA363" s="96"/>
      <c r="AB363" s="96"/>
    </row>
    <row r="364" spans="2:28" s="99" customFormat="1" ht="15.75" customHeight="1" x14ac:dyDescent="0.25"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  <c r="AA364" s="96"/>
      <c r="AB364" s="96"/>
    </row>
    <row r="365" spans="2:28" s="99" customFormat="1" ht="15.75" customHeight="1" x14ac:dyDescent="0.25"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  <c r="AA365" s="96"/>
      <c r="AB365" s="96"/>
    </row>
    <row r="366" spans="2:28" s="99" customFormat="1" ht="15.75" customHeight="1" x14ac:dyDescent="0.25"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  <c r="AA366" s="96"/>
      <c r="AB366" s="96"/>
    </row>
    <row r="367" spans="2:28" s="99" customFormat="1" ht="15.75" customHeight="1" x14ac:dyDescent="0.25"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  <c r="AA367" s="96"/>
      <c r="AB367" s="96"/>
    </row>
    <row r="368" spans="2:28" s="99" customFormat="1" ht="15.75" customHeight="1" x14ac:dyDescent="0.25"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  <c r="AA368" s="96"/>
      <c r="AB368" s="96"/>
    </row>
    <row r="369" spans="2:28" s="99" customFormat="1" ht="15.75" customHeight="1" x14ac:dyDescent="0.25"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  <c r="AA369" s="96"/>
      <c r="AB369" s="96"/>
    </row>
    <row r="370" spans="2:28" s="99" customFormat="1" ht="15.75" customHeight="1" x14ac:dyDescent="0.25"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  <c r="AA370" s="96"/>
      <c r="AB370" s="96"/>
    </row>
    <row r="371" spans="2:28" s="99" customFormat="1" ht="15.75" customHeight="1" x14ac:dyDescent="0.25"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  <c r="AA371" s="96"/>
      <c r="AB371" s="96"/>
    </row>
    <row r="372" spans="2:28" s="99" customFormat="1" ht="15.75" customHeight="1" x14ac:dyDescent="0.25"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  <c r="AA372" s="96"/>
      <c r="AB372" s="96"/>
    </row>
    <row r="373" spans="2:28" s="99" customFormat="1" ht="15.75" customHeight="1" x14ac:dyDescent="0.25"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  <c r="AA373" s="96"/>
      <c r="AB373" s="96"/>
    </row>
    <row r="374" spans="2:28" s="99" customFormat="1" ht="15.75" customHeight="1" x14ac:dyDescent="0.25"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  <c r="AA374" s="96"/>
      <c r="AB374" s="96"/>
    </row>
    <row r="375" spans="2:28" s="99" customFormat="1" ht="15.75" customHeight="1" x14ac:dyDescent="0.25"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  <c r="AA375" s="96"/>
      <c r="AB375" s="96"/>
    </row>
    <row r="376" spans="2:28" s="99" customFormat="1" ht="15.75" customHeight="1" x14ac:dyDescent="0.25"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  <c r="AA376" s="96"/>
      <c r="AB376" s="96"/>
    </row>
    <row r="377" spans="2:28" s="99" customFormat="1" ht="15.75" customHeight="1" x14ac:dyDescent="0.25"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  <c r="AA377" s="96"/>
      <c r="AB377" s="96"/>
    </row>
    <row r="378" spans="2:28" s="99" customFormat="1" ht="15.75" customHeight="1" x14ac:dyDescent="0.25"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  <c r="AA378" s="96"/>
      <c r="AB378" s="96"/>
    </row>
    <row r="379" spans="2:28" s="99" customFormat="1" ht="15.75" customHeight="1" x14ac:dyDescent="0.25"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  <c r="AA379" s="96"/>
      <c r="AB379" s="96"/>
    </row>
    <row r="380" spans="2:28" s="99" customFormat="1" ht="15.75" customHeight="1" x14ac:dyDescent="0.25"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  <c r="AA380" s="96"/>
      <c r="AB380" s="96"/>
    </row>
    <row r="381" spans="2:28" s="99" customFormat="1" ht="15.75" customHeight="1" x14ac:dyDescent="0.25"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  <c r="AA381" s="96"/>
      <c r="AB381" s="96"/>
    </row>
    <row r="382" spans="2:28" s="99" customFormat="1" ht="15.75" customHeight="1" x14ac:dyDescent="0.25"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  <c r="AA382" s="96"/>
      <c r="AB382" s="96"/>
    </row>
    <row r="383" spans="2:28" s="99" customFormat="1" ht="15.75" customHeight="1" x14ac:dyDescent="0.25"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  <c r="AA383" s="96"/>
      <c r="AB383" s="96"/>
    </row>
    <row r="384" spans="2:28" s="99" customFormat="1" ht="15.75" customHeight="1" x14ac:dyDescent="0.25"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  <c r="AA384" s="96"/>
      <c r="AB384" s="96"/>
    </row>
    <row r="385" spans="2:28" s="99" customFormat="1" ht="15.75" customHeight="1" x14ac:dyDescent="0.25"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  <c r="AA385" s="96"/>
      <c r="AB385" s="96"/>
    </row>
    <row r="386" spans="2:28" s="99" customFormat="1" ht="15.75" customHeight="1" x14ac:dyDescent="0.25"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  <c r="AA386" s="96"/>
      <c r="AB386" s="96"/>
    </row>
    <row r="387" spans="2:28" s="99" customFormat="1" ht="15.75" customHeight="1" x14ac:dyDescent="0.25"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  <c r="AA387" s="96"/>
      <c r="AB387" s="96"/>
    </row>
    <row r="388" spans="2:28" s="99" customFormat="1" ht="15.75" customHeight="1" x14ac:dyDescent="0.25"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  <c r="AA388" s="96"/>
      <c r="AB388" s="96"/>
    </row>
    <row r="389" spans="2:28" s="99" customFormat="1" ht="15.75" customHeight="1" x14ac:dyDescent="0.25"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  <c r="AA389" s="96"/>
      <c r="AB389" s="96"/>
    </row>
    <row r="390" spans="2:28" s="99" customFormat="1" ht="15.75" customHeight="1" x14ac:dyDescent="0.25"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  <c r="AA390" s="96"/>
      <c r="AB390" s="96"/>
    </row>
    <row r="391" spans="2:28" s="99" customFormat="1" ht="15.75" customHeight="1" x14ac:dyDescent="0.25"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  <c r="AA391" s="96"/>
      <c r="AB391" s="96"/>
    </row>
    <row r="392" spans="2:28" s="99" customFormat="1" ht="15.75" customHeight="1" x14ac:dyDescent="0.25"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  <c r="AA392" s="96"/>
      <c r="AB392" s="96"/>
    </row>
    <row r="393" spans="2:28" s="99" customFormat="1" ht="15.75" customHeight="1" x14ac:dyDescent="0.25"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  <c r="AA393" s="96"/>
      <c r="AB393" s="96"/>
    </row>
    <row r="394" spans="2:28" s="99" customFormat="1" ht="15.75" customHeight="1" x14ac:dyDescent="0.25"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  <c r="AA394" s="96"/>
      <c r="AB394" s="96"/>
    </row>
    <row r="395" spans="2:28" s="99" customFormat="1" ht="15.75" customHeight="1" x14ac:dyDescent="0.25"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  <c r="AA395" s="96"/>
      <c r="AB395" s="96"/>
    </row>
    <row r="396" spans="2:28" s="99" customFormat="1" ht="15.75" customHeight="1" x14ac:dyDescent="0.25"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  <c r="AA396" s="96"/>
      <c r="AB396" s="96"/>
    </row>
    <row r="397" spans="2:28" s="99" customFormat="1" ht="15.75" customHeight="1" x14ac:dyDescent="0.25"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  <c r="AA397" s="96"/>
      <c r="AB397" s="96"/>
    </row>
    <row r="398" spans="2:28" s="99" customFormat="1" ht="15.75" customHeight="1" x14ac:dyDescent="0.25"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  <c r="AA398" s="96"/>
      <c r="AB398" s="96"/>
    </row>
    <row r="399" spans="2:28" s="99" customFormat="1" ht="15.75" customHeight="1" x14ac:dyDescent="0.25"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  <c r="AA399" s="96"/>
      <c r="AB399" s="96"/>
    </row>
    <row r="400" spans="2:28" s="99" customFormat="1" ht="15.75" customHeight="1" x14ac:dyDescent="0.25"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  <c r="AA400" s="96"/>
      <c r="AB400" s="96"/>
    </row>
    <row r="401" spans="2:28" s="99" customFormat="1" ht="15.75" customHeight="1" x14ac:dyDescent="0.25"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  <c r="AA401" s="96"/>
      <c r="AB401" s="96"/>
    </row>
    <row r="402" spans="2:28" s="99" customFormat="1" ht="15.75" customHeight="1" x14ac:dyDescent="0.25"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  <c r="AA402" s="96"/>
      <c r="AB402" s="96"/>
    </row>
    <row r="403" spans="2:28" s="99" customFormat="1" ht="15.75" customHeight="1" x14ac:dyDescent="0.25"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  <c r="AA403" s="96"/>
      <c r="AB403" s="96"/>
    </row>
    <row r="404" spans="2:28" s="99" customFormat="1" ht="15.75" customHeight="1" x14ac:dyDescent="0.25"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  <c r="AA404" s="96"/>
      <c r="AB404" s="96"/>
    </row>
    <row r="405" spans="2:28" s="99" customFormat="1" ht="15.75" customHeight="1" x14ac:dyDescent="0.25"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  <c r="AA405" s="96"/>
      <c r="AB405" s="96"/>
    </row>
    <row r="406" spans="2:28" s="99" customFormat="1" ht="15.75" customHeight="1" x14ac:dyDescent="0.25"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  <c r="AA406" s="96"/>
      <c r="AB406" s="96"/>
    </row>
    <row r="407" spans="2:28" s="99" customFormat="1" ht="15.75" customHeight="1" x14ac:dyDescent="0.25"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  <c r="AA407" s="96"/>
      <c r="AB407" s="96"/>
    </row>
    <row r="408" spans="2:28" s="99" customFormat="1" ht="15.75" customHeight="1" x14ac:dyDescent="0.25"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  <c r="AA408" s="96"/>
      <c r="AB408" s="96"/>
    </row>
    <row r="409" spans="2:28" s="99" customFormat="1" ht="15.75" customHeight="1" x14ac:dyDescent="0.25"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  <c r="AA409" s="96"/>
      <c r="AB409" s="96"/>
    </row>
    <row r="410" spans="2:28" s="99" customFormat="1" ht="15.75" customHeight="1" x14ac:dyDescent="0.25"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  <c r="AA410" s="96"/>
      <c r="AB410" s="96"/>
    </row>
    <row r="411" spans="2:28" s="99" customFormat="1" ht="15.75" customHeight="1" x14ac:dyDescent="0.25"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  <c r="AA411" s="96"/>
      <c r="AB411" s="96"/>
    </row>
    <row r="412" spans="2:28" s="99" customFormat="1" ht="15.75" customHeight="1" x14ac:dyDescent="0.25"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  <c r="AA412" s="96"/>
      <c r="AB412" s="96"/>
    </row>
    <row r="413" spans="2:28" s="99" customFormat="1" ht="15.75" customHeight="1" x14ac:dyDescent="0.25"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  <c r="AA413" s="96"/>
      <c r="AB413" s="96"/>
    </row>
    <row r="414" spans="2:28" s="99" customFormat="1" ht="15.75" customHeight="1" x14ac:dyDescent="0.25"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  <c r="AA414" s="96"/>
      <c r="AB414" s="96"/>
    </row>
    <row r="415" spans="2:28" s="99" customFormat="1" ht="15.75" customHeight="1" x14ac:dyDescent="0.25"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  <c r="AA415" s="96"/>
      <c r="AB415" s="96"/>
    </row>
    <row r="416" spans="2:28" s="99" customFormat="1" ht="15.75" customHeight="1" x14ac:dyDescent="0.25"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  <c r="AA416" s="96"/>
      <c r="AB416" s="96"/>
    </row>
    <row r="417" spans="2:28" s="99" customFormat="1" ht="15.75" customHeight="1" x14ac:dyDescent="0.25"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  <c r="AA417" s="96"/>
      <c r="AB417" s="96"/>
    </row>
    <row r="418" spans="2:28" s="99" customFormat="1" ht="15.75" customHeight="1" x14ac:dyDescent="0.25"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  <c r="AA418" s="96"/>
      <c r="AB418" s="96"/>
    </row>
    <row r="419" spans="2:28" s="99" customFormat="1" ht="15.75" customHeight="1" x14ac:dyDescent="0.25"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  <c r="AA419" s="96"/>
      <c r="AB419" s="96"/>
    </row>
    <row r="420" spans="2:28" s="99" customFormat="1" ht="15.75" customHeight="1" x14ac:dyDescent="0.25"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  <c r="AA420" s="96"/>
      <c r="AB420" s="96"/>
    </row>
    <row r="421" spans="2:28" s="99" customFormat="1" ht="15.75" customHeight="1" x14ac:dyDescent="0.25"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  <c r="AA421" s="96"/>
      <c r="AB421" s="96"/>
    </row>
    <row r="422" spans="2:28" s="99" customFormat="1" ht="15.75" customHeight="1" x14ac:dyDescent="0.25"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  <c r="AA422" s="96"/>
      <c r="AB422" s="96"/>
    </row>
    <row r="423" spans="2:28" s="99" customFormat="1" ht="15.75" customHeight="1" x14ac:dyDescent="0.25"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  <c r="AA423" s="96"/>
      <c r="AB423" s="96"/>
    </row>
    <row r="424" spans="2:28" s="99" customFormat="1" ht="15.75" customHeight="1" x14ac:dyDescent="0.25"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  <c r="AA424" s="96"/>
      <c r="AB424" s="96"/>
    </row>
    <row r="425" spans="2:28" s="99" customFormat="1" ht="15.75" customHeight="1" x14ac:dyDescent="0.25"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  <c r="AA425" s="96"/>
      <c r="AB425" s="96"/>
    </row>
    <row r="426" spans="2:28" s="99" customFormat="1" ht="15.75" customHeight="1" x14ac:dyDescent="0.25"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  <c r="AA426" s="96"/>
      <c r="AB426" s="96"/>
    </row>
    <row r="427" spans="2:28" s="99" customFormat="1" ht="15.75" customHeight="1" x14ac:dyDescent="0.25"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  <c r="AA427" s="96"/>
      <c r="AB427" s="96"/>
    </row>
    <row r="428" spans="2:28" s="99" customFormat="1" ht="15.75" customHeight="1" x14ac:dyDescent="0.25"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  <c r="AA428" s="96"/>
      <c r="AB428" s="96"/>
    </row>
    <row r="429" spans="2:28" s="99" customFormat="1" ht="15.75" customHeight="1" x14ac:dyDescent="0.25"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  <c r="AA429" s="96"/>
      <c r="AB429" s="96"/>
    </row>
    <row r="430" spans="2:28" s="99" customFormat="1" ht="15.75" customHeight="1" x14ac:dyDescent="0.25"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  <c r="AA430" s="96"/>
      <c r="AB430" s="96"/>
    </row>
    <row r="431" spans="2:28" s="99" customFormat="1" ht="15.75" customHeight="1" x14ac:dyDescent="0.25"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  <c r="AA431" s="96"/>
      <c r="AB431" s="96"/>
    </row>
    <row r="432" spans="2:28" s="99" customFormat="1" ht="15.75" customHeight="1" x14ac:dyDescent="0.25"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  <c r="AA432" s="96"/>
      <c r="AB432" s="96"/>
    </row>
    <row r="433" spans="2:28" s="99" customFormat="1" ht="15.75" customHeight="1" x14ac:dyDescent="0.25"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  <c r="AA433" s="96"/>
      <c r="AB433" s="96"/>
    </row>
    <row r="434" spans="2:28" s="99" customFormat="1" ht="15.75" customHeight="1" x14ac:dyDescent="0.25"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  <c r="AA434" s="96"/>
      <c r="AB434" s="96"/>
    </row>
    <row r="435" spans="2:28" s="99" customFormat="1" ht="15.75" customHeight="1" x14ac:dyDescent="0.25"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  <c r="AA435" s="96"/>
      <c r="AB435" s="96"/>
    </row>
    <row r="436" spans="2:28" s="99" customFormat="1" ht="15.75" customHeight="1" x14ac:dyDescent="0.25"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  <c r="AA436" s="96"/>
      <c r="AB436" s="96"/>
    </row>
    <row r="437" spans="2:28" s="99" customFormat="1" ht="15.75" customHeight="1" x14ac:dyDescent="0.25"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  <c r="AA437" s="96"/>
      <c r="AB437" s="96"/>
    </row>
    <row r="438" spans="2:28" s="99" customFormat="1" ht="15.75" customHeight="1" x14ac:dyDescent="0.25"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  <c r="AA438" s="96"/>
      <c r="AB438" s="96"/>
    </row>
    <row r="439" spans="2:28" s="99" customFormat="1" ht="15.75" customHeight="1" x14ac:dyDescent="0.25"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  <c r="AA439" s="96"/>
      <c r="AB439" s="96"/>
    </row>
    <row r="440" spans="2:28" s="99" customFormat="1" ht="15.75" customHeight="1" x14ac:dyDescent="0.25"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  <c r="AA440" s="96"/>
      <c r="AB440" s="96"/>
    </row>
    <row r="441" spans="2:28" s="99" customFormat="1" ht="15.75" customHeight="1" x14ac:dyDescent="0.25"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  <c r="AA441" s="96"/>
      <c r="AB441" s="96"/>
    </row>
    <row r="442" spans="2:28" s="99" customFormat="1" ht="15.75" customHeight="1" x14ac:dyDescent="0.25"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  <c r="AA442" s="96"/>
      <c r="AB442" s="96"/>
    </row>
    <row r="443" spans="2:28" s="99" customFormat="1" ht="15.75" customHeight="1" x14ac:dyDescent="0.25"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  <c r="AA443" s="96"/>
      <c r="AB443" s="96"/>
    </row>
    <row r="444" spans="2:28" s="99" customFormat="1" ht="15.75" customHeight="1" x14ac:dyDescent="0.25"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  <c r="AA444" s="96"/>
      <c r="AB444" s="96"/>
    </row>
    <row r="445" spans="2:28" s="99" customFormat="1" ht="15.75" customHeight="1" x14ac:dyDescent="0.25"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  <c r="AA445" s="96"/>
      <c r="AB445" s="96"/>
    </row>
    <row r="446" spans="2:28" s="99" customFormat="1" ht="15.75" customHeight="1" x14ac:dyDescent="0.25"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  <c r="AA446" s="96"/>
      <c r="AB446" s="96"/>
    </row>
    <row r="447" spans="2:28" s="99" customFormat="1" ht="15.75" customHeight="1" x14ac:dyDescent="0.25"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  <c r="AA447" s="96"/>
      <c r="AB447" s="96"/>
    </row>
    <row r="448" spans="2:28" s="99" customFormat="1" ht="15.75" customHeight="1" x14ac:dyDescent="0.25"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  <c r="AA448" s="96"/>
      <c r="AB448" s="96"/>
    </row>
    <row r="449" spans="2:28" s="99" customFormat="1" ht="15.75" customHeight="1" x14ac:dyDescent="0.25"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  <c r="AA449" s="96"/>
      <c r="AB449" s="96"/>
    </row>
    <row r="450" spans="2:28" s="99" customFormat="1" ht="15.75" customHeight="1" x14ac:dyDescent="0.25"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  <c r="AA450" s="96"/>
      <c r="AB450" s="96"/>
    </row>
    <row r="451" spans="2:28" s="99" customFormat="1" ht="15.75" customHeight="1" x14ac:dyDescent="0.25"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  <c r="AA451" s="96"/>
      <c r="AB451" s="96"/>
    </row>
    <row r="452" spans="2:28" s="99" customFormat="1" ht="15.75" customHeight="1" x14ac:dyDescent="0.25"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  <c r="AA452" s="96"/>
      <c r="AB452" s="96"/>
    </row>
    <row r="453" spans="2:28" s="99" customFormat="1" ht="15.75" customHeight="1" x14ac:dyDescent="0.25"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  <c r="AA453" s="96"/>
      <c r="AB453" s="96"/>
    </row>
    <row r="454" spans="2:28" s="99" customFormat="1" ht="15.75" customHeight="1" x14ac:dyDescent="0.25"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  <c r="AA454" s="96"/>
      <c r="AB454" s="96"/>
    </row>
    <row r="455" spans="2:28" s="99" customFormat="1" ht="15.75" customHeight="1" x14ac:dyDescent="0.25"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  <c r="AA455" s="96"/>
      <c r="AB455" s="96"/>
    </row>
    <row r="456" spans="2:28" s="99" customFormat="1" ht="15.75" customHeight="1" x14ac:dyDescent="0.25"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  <c r="AA456" s="96"/>
      <c r="AB456" s="96"/>
    </row>
    <row r="457" spans="2:28" s="99" customFormat="1" ht="15.75" customHeight="1" x14ac:dyDescent="0.25"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  <c r="AA457" s="96"/>
      <c r="AB457" s="96"/>
    </row>
    <row r="458" spans="2:28" s="99" customFormat="1" ht="15.75" customHeight="1" x14ac:dyDescent="0.25"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  <c r="AA458" s="96"/>
      <c r="AB458" s="96"/>
    </row>
    <row r="459" spans="2:28" s="99" customFormat="1" ht="15.75" customHeight="1" x14ac:dyDescent="0.25"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  <c r="AA459" s="96"/>
      <c r="AB459" s="96"/>
    </row>
    <row r="460" spans="2:28" s="99" customFormat="1" ht="15.75" customHeight="1" x14ac:dyDescent="0.25"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  <c r="AA460" s="96"/>
      <c r="AB460" s="96"/>
    </row>
    <row r="461" spans="2:28" s="99" customFormat="1" ht="15.75" customHeight="1" x14ac:dyDescent="0.25"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  <c r="AA461" s="96"/>
      <c r="AB461" s="96"/>
    </row>
    <row r="462" spans="2:28" s="99" customFormat="1" ht="15.75" customHeight="1" x14ac:dyDescent="0.25"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  <c r="AA462" s="96"/>
      <c r="AB462" s="96"/>
    </row>
    <row r="463" spans="2:28" s="99" customFormat="1" ht="15.75" customHeight="1" x14ac:dyDescent="0.25"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  <c r="AA463" s="96"/>
      <c r="AB463" s="96"/>
    </row>
    <row r="464" spans="2:28" s="99" customFormat="1" ht="15.75" customHeight="1" x14ac:dyDescent="0.25"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  <c r="AA464" s="96"/>
      <c r="AB464" s="96"/>
    </row>
    <row r="465" spans="2:28" s="99" customFormat="1" ht="15.75" customHeight="1" x14ac:dyDescent="0.25"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  <c r="AA465" s="96"/>
      <c r="AB465" s="96"/>
    </row>
    <row r="466" spans="2:28" s="99" customFormat="1" ht="15.75" customHeight="1" x14ac:dyDescent="0.25"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  <c r="AA466" s="96"/>
      <c r="AB466" s="96"/>
    </row>
    <row r="467" spans="2:28" s="99" customFormat="1" ht="15.75" customHeight="1" x14ac:dyDescent="0.25"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  <c r="AA467" s="96"/>
      <c r="AB467" s="96"/>
    </row>
    <row r="468" spans="2:28" s="99" customFormat="1" ht="15.75" customHeight="1" x14ac:dyDescent="0.25"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  <c r="AA468" s="96"/>
      <c r="AB468" s="96"/>
    </row>
    <row r="469" spans="2:28" s="99" customFormat="1" ht="15.75" customHeight="1" x14ac:dyDescent="0.25"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  <c r="AA469" s="96"/>
      <c r="AB469" s="96"/>
    </row>
    <row r="470" spans="2:28" s="99" customFormat="1" ht="15.75" customHeight="1" x14ac:dyDescent="0.25"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  <c r="AA470" s="96"/>
      <c r="AB470" s="96"/>
    </row>
    <row r="471" spans="2:28" s="99" customFormat="1" ht="15.75" customHeight="1" x14ac:dyDescent="0.25"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  <c r="AA471" s="96"/>
      <c r="AB471" s="96"/>
    </row>
    <row r="472" spans="2:28" s="99" customFormat="1" ht="15.75" customHeight="1" x14ac:dyDescent="0.25"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  <c r="AA472" s="96"/>
      <c r="AB472" s="96"/>
    </row>
    <row r="473" spans="2:28" s="99" customFormat="1" ht="15.75" customHeight="1" x14ac:dyDescent="0.25"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  <c r="AA473" s="96"/>
      <c r="AB473" s="96"/>
    </row>
    <row r="474" spans="2:28" s="99" customFormat="1" ht="15.75" customHeight="1" x14ac:dyDescent="0.25"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  <c r="AA474" s="96"/>
      <c r="AB474" s="96"/>
    </row>
    <row r="475" spans="2:28" s="99" customFormat="1" ht="15.75" customHeight="1" x14ac:dyDescent="0.25"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  <c r="AA475" s="96"/>
      <c r="AB475" s="96"/>
    </row>
    <row r="476" spans="2:28" s="99" customFormat="1" ht="15.75" customHeight="1" x14ac:dyDescent="0.25"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  <c r="AA476" s="96"/>
      <c r="AB476" s="96"/>
    </row>
    <row r="477" spans="2:28" s="99" customFormat="1" ht="15.75" customHeight="1" x14ac:dyDescent="0.25"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  <c r="AA477" s="96"/>
      <c r="AB477" s="96"/>
    </row>
    <row r="478" spans="2:28" s="99" customFormat="1" ht="15.75" customHeight="1" x14ac:dyDescent="0.25"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  <c r="AA478" s="96"/>
      <c r="AB478" s="96"/>
    </row>
    <row r="479" spans="2:28" s="99" customFormat="1" ht="15.75" customHeight="1" x14ac:dyDescent="0.25"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  <c r="AA479" s="96"/>
      <c r="AB479" s="96"/>
    </row>
    <row r="480" spans="2:28" s="99" customFormat="1" ht="15.75" customHeight="1" x14ac:dyDescent="0.25"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  <c r="AA480" s="96"/>
      <c r="AB480" s="96"/>
    </row>
    <row r="481" spans="2:28" s="99" customFormat="1" ht="15.75" customHeight="1" x14ac:dyDescent="0.25"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  <c r="AA481" s="96"/>
      <c r="AB481" s="96"/>
    </row>
    <row r="482" spans="2:28" s="99" customFormat="1" ht="15.75" customHeight="1" x14ac:dyDescent="0.25"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  <c r="AA482" s="96"/>
      <c r="AB482" s="96"/>
    </row>
    <row r="483" spans="2:28" s="99" customFormat="1" ht="15.75" customHeight="1" x14ac:dyDescent="0.25"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  <c r="AA483" s="96"/>
      <c r="AB483" s="96"/>
    </row>
    <row r="484" spans="2:28" s="99" customFormat="1" ht="15.75" customHeight="1" x14ac:dyDescent="0.25"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  <c r="AA484" s="96"/>
      <c r="AB484" s="96"/>
    </row>
    <row r="485" spans="2:28" s="99" customFormat="1" ht="15.75" customHeight="1" x14ac:dyDescent="0.25"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  <c r="AA485" s="96"/>
      <c r="AB485" s="96"/>
    </row>
    <row r="486" spans="2:28" s="99" customFormat="1" ht="15.75" customHeight="1" x14ac:dyDescent="0.25"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  <c r="AA486" s="96"/>
      <c r="AB486" s="96"/>
    </row>
    <row r="487" spans="2:28" s="99" customFormat="1" ht="15.75" customHeight="1" x14ac:dyDescent="0.25"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  <c r="AA487" s="96"/>
      <c r="AB487" s="96"/>
    </row>
    <row r="488" spans="2:28" s="99" customFormat="1" ht="15.75" customHeight="1" x14ac:dyDescent="0.25"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  <c r="AA488" s="96"/>
      <c r="AB488" s="96"/>
    </row>
    <row r="489" spans="2:28" s="99" customFormat="1" ht="15.75" customHeight="1" x14ac:dyDescent="0.25"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  <c r="AA489" s="96"/>
      <c r="AB489" s="96"/>
    </row>
    <row r="490" spans="2:28" s="99" customFormat="1" ht="15.75" customHeight="1" x14ac:dyDescent="0.25"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  <c r="AA490" s="96"/>
      <c r="AB490" s="96"/>
    </row>
    <row r="491" spans="2:28" s="99" customFormat="1" ht="15.75" customHeight="1" x14ac:dyDescent="0.25"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  <c r="AA491" s="96"/>
      <c r="AB491" s="96"/>
    </row>
    <row r="492" spans="2:28" s="99" customFormat="1" ht="15.75" customHeight="1" x14ac:dyDescent="0.25"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  <c r="AA492" s="96"/>
      <c r="AB492" s="96"/>
    </row>
    <row r="493" spans="2:28" s="99" customFormat="1" ht="15.75" customHeight="1" x14ac:dyDescent="0.25"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  <c r="AA493" s="96"/>
      <c r="AB493" s="96"/>
    </row>
    <row r="494" spans="2:28" s="99" customFormat="1" ht="15.75" customHeight="1" x14ac:dyDescent="0.25"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  <c r="AA494" s="96"/>
      <c r="AB494" s="96"/>
    </row>
    <row r="495" spans="2:28" s="99" customFormat="1" ht="15.75" customHeight="1" x14ac:dyDescent="0.25"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  <c r="AA495" s="96"/>
      <c r="AB495" s="96"/>
    </row>
    <row r="496" spans="2:28" s="99" customFormat="1" ht="15.75" customHeight="1" x14ac:dyDescent="0.25"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  <c r="AA496" s="96"/>
      <c r="AB496" s="96"/>
    </row>
    <row r="497" spans="2:28" s="99" customFormat="1" ht="15.75" customHeight="1" x14ac:dyDescent="0.25"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  <c r="AA497" s="96"/>
      <c r="AB497" s="96"/>
    </row>
    <row r="498" spans="2:28" s="99" customFormat="1" ht="15.75" customHeight="1" x14ac:dyDescent="0.25"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  <c r="AA498" s="96"/>
      <c r="AB498" s="96"/>
    </row>
    <row r="499" spans="2:28" s="99" customFormat="1" ht="15.75" customHeight="1" x14ac:dyDescent="0.25"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  <c r="AA499" s="96"/>
      <c r="AB499" s="96"/>
    </row>
    <row r="500" spans="2:28" s="99" customFormat="1" ht="15.75" customHeight="1" x14ac:dyDescent="0.25"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  <c r="AA500" s="96"/>
      <c r="AB500" s="96"/>
    </row>
    <row r="501" spans="2:28" s="99" customFormat="1" ht="15.75" customHeight="1" x14ac:dyDescent="0.25"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  <c r="AA501" s="96"/>
      <c r="AB501" s="96"/>
    </row>
    <row r="502" spans="2:28" s="99" customFormat="1" ht="15.75" customHeight="1" x14ac:dyDescent="0.25"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  <c r="AB502" s="96"/>
    </row>
    <row r="503" spans="2:28" s="99" customFormat="1" ht="15.75" customHeight="1" x14ac:dyDescent="0.25"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  <c r="AA503" s="96"/>
      <c r="AB503" s="96"/>
    </row>
    <row r="504" spans="2:28" s="99" customFormat="1" ht="15.75" customHeight="1" x14ac:dyDescent="0.25"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  <c r="AA504" s="96"/>
      <c r="AB504" s="96"/>
    </row>
    <row r="505" spans="2:28" s="99" customFormat="1" ht="15.75" customHeight="1" x14ac:dyDescent="0.25"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  <c r="AA505" s="96"/>
      <c r="AB505" s="96"/>
    </row>
    <row r="506" spans="2:28" s="99" customFormat="1" ht="15.75" customHeight="1" x14ac:dyDescent="0.25"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  <c r="AA506" s="96"/>
      <c r="AB506" s="96"/>
    </row>
    <row r="507" spans="2:28" s="99" customFormat="1" ht="15.75" customHeight="1" x14ac:dyDescent="0.25"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  <c r="AA507" s="96"/>
      <c r="AB507" s="96"/>
    </row>
    <row r="508" spans="2:28" s="99" customFormat="1" ht="15.75" customHeight="1" x14ac:dyDescent="0.25"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  <c r="AA508" s="96"/>
      <c r="AB508" s="96"/>
    </row>
    <row r="509" spans="2:28" s="99" customFormat="1" ht="15.75" customHeight="1" x14ac:dyDescent="0.25"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  <c r="AA509" s="96"/>
      <c r="AB509" s="96"/>
    </row>
    <row r="510" spans="2:28" s="99" customFormat="1" ht="15.75" customHeight="1" x14ac:dyDescent="0.25"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  <c r="AA510" s="96"/>
      <c r="AB510" s="96"/>
    </row>
    <row r="511" spans="2:28" s="99" customFormat="1" ht="15.75" customHeight="1" x14ac:dyDescent="0.25"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  <c r="AA511" s="96"/>
      <c r="AB511" s="96"/>
    </row>
    <row r="512" spans="2:28" s="99" customFormat="1" ht="15.75" customHeight="1" x14ac:dyDescent="0.25"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  <c r="AA512" s="96"/>
      <c r="AB512" s="96"/>
    </row>
    <row r="513" spans="2:28" s="99" customFormat="1" ht="15.75" customHeight="1" x14ac:dyDescent="0.25"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  <c r="AA513" s="96"/>
      <c r="AB513" s="96"/>
    </row>
    <row r="514" spans="2:28" s="99" customFormat="1" ht="15.75" customHeight="1" x14ac:dyDescent="0.25"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  <c r="AA514" s="96"/>
      <c r="AB514" s="96"/>
    </row>
    <row r="515" spans="2:28" s="99" customFormat="1" ht="15.75" customHeight="1" x14ac:dyDescent="0.25"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  <c r="AA515" s="96"/>
      <c r="AB515" s="96"/>
    </row>
    <row r="516" spans="2:28" s="99" customFormat="1" ht="15.75" customHeight="1" x14ac:dyDescent="0.25"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  <c r="AA516" s="96"/>
      <c r="AB516" s="96"/>
    </row>
    <row r="517" spans="2:28" s="99" customFormat="1" ht="15.75" customHeight="1" x14ac:dyDescent="0.25"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  <c r="AA517" s="96"/>
      <c r="AB517" s="96"/>
    </row>
    <row r="518" spans="2:28" s="99" customFormat="1" ht="15.75" customHeight="1" x14ac:dyDescent="0.25"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  <c r="AA518" s="96"/>
      <c r="AB518" s="96"/>
    </row>
    <row r="519" spans="2:28" s="99" customFormat="1" ht="15.75" customHeight="1" x14ac:dyDescent="0.25"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  <c r="AA519" s="96"/>
      <c r="AB519" s="96"/>
    </row>
    <row r="520" spans="2:28" s="99" customFormat="1" ht="15.75" customHeight="1" x14ac:dyDescent="0.25"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  <c r="AA520" s="96"/>
      <c r="AB520" s="96"/>
    </row>
    <row r="521" spans="2:28" s="99" customFormat="1" ht="15.75" customHeight="1" x14ac:dyDescent="0.25"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  <c r="AA521" s="96"/>
      <c r="AB521" s="96"/>
    </row>
    <row r="522" spans="2:28" s="99" customFormat="1" ht="15.75" customHeight="1" x14ac:dyDescent="0.25"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  <c r="AA522" s="96"/>
      <c r="AB522" s="96"/>
    </row>
    <row r="523" spans="2:28" s="99" customFormat="1" ht="15.75" customHeight="1" x14ac:dyDescent="0.25"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  <c r="AA523" s="96"/>
      <c r="AB523" s="96"/>
    </row>
    <row r="524" spans="2:28" s="99" customFormat="1" ht="15.75" customHeight="1" x14ac:dyDescent="0.25"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  <c r="AA524" s="96"/>
      <c r="AB524" s="96"/>
    </row>
    <row r="525" spans="2:28" s="99" customFormat="1" ht="15.75" customHeight="1" x14ac:dyDescent="0.25"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  <c r="AA525" s="96"/>
      <c r="AB525" s="96"/>
    </row>
    <row r="526" spans="2:28" s="99" customFormat="1" ht="15.75" customHeight="1" x14ac:dyDescent="0.25"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  <c r="AA526" s="96"/>
      <c r="AB526" s="96"/>
    </row>
    <row r="527" spans="2:28" s="99" customFormat="1" ht="15.75" customHeight="1" x14ac:dyDescent="0.25"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  <c r="AA527" s="96"/>
      <c r="AB527" s="96"/>
    </row>
    <row r="528" spans="2:28" s="99" customFormat="1" ht="15.75" customHeight="1" x14ac:dyDescent="0.25"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  <c r="AA528" s="96"/>
      <c r="AB528" s="96"/>
    </row>
    <row r="529" spans="2:28" s="99" customFormat="1" ht="15.75" customHeight="1" x14ac:dyDescent="0.25"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  <c r="AA529" s="96"/>
      <c r="AB529" s="96"/>
    </row>
    <row r="530" spans="2:28" s="99" customFormat="1" ht="15.75" customHeight="1" x14ac:dyDescent="0.25"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  <c r="AA530" s="96"/>
      <c r="AB530" s="96"/>
    </row>
    <row r="531" spans="2:28" s="99" customFormat="1" ht="15.75" customHeight="1" x14ac:dyDescent="0.25"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  <c r="AA531" s="96"/>
      <c r="AB531" s="96"/>
    </row>
    <row r="532" spans="2:28" s="99" customFormat="1" ht="15.75" customHeight="1" x14ac:dyDescent="0.25"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  <c r="AA532" s="96"/>
      <c r="AB532" s="96"/>
    </row>
    <row r="533" spans="2:28" s="99" customFormat="1" ht="15.75" customHeight="1" x14ac:dyDescent="0.25"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  <c r="AA533" s="96"/>
      <c r="AB533" s="96"/>
    </row>
    <row r="534" spans="2:28" s="99" customFormat="1" ht="15.75" customHeight="1" x14ac:dyDescent="0.25"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  <c r="AA534" s="96"/>
      <c r="AB534" s="96"/>
    </row>
    <row r="535" spans="2:28" s="99" customFormat="1" ht="15.75" customHeight="1" x14ac:dyDescent="0.25"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  <c r="AA535" s="96"/>
      <c r="AB535" s="96"/>
    </row>
    <row r="536" spans="2:28" s="99" customFormat="1" ht="15.75" customHeight="1" x14ac:dyDescent="0.25"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  <c r="AA536" s="96"/>
      <c r="AB536" s="96"/>
    </row>
    <row r="537" spans="2:28" s="99" customFormat="1" ht="15.75" customHeight="1" x14ac:dyDescent="0.25"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  <c r="AA537" s="96"/>
      <c r="AB537" s="96"/>
    </row>
    <row r="538" spans="2:28" s="99" customFormat="1" ht="15.75" customHeight="1" x14ac:dyDescent="0.25"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  <c r="AA538" s="96"/>
      <c r="AB538" s="96"/>
    </row>
    <row r="539" spans="2:28" s="99" customFormat="1" ht="15.75" customHeight="1" x14ac:dyDescent="0.25"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  <c r="AA539" s="96"/>
      <c r="AB539" s="96"/>
    </row>
    <row r="540" spans="2:28" s="99" customFormat="1" ht="15.75" customHeight="1" x14ac:dyDescent="0.25"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  <c r="AA540" s="96"/>
      <c r="AB540" s="96"/>
    </row>
    <row r="541" spans="2:28" s="99" customFormat="1" ht="15.75" customHeight="1" x14ac:dyDescent="0.25"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  <c r="AA541" s="96"/>
      <c r="AB541" s="96"/>
    </row>
    <row r="542" spans="2:28" s="99" customFormat="1" ht="15.75" customHeight="1" x14ac:dyDescent="0.25"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  <c r="AA542" s="96"/>
      <c r="AB542" s="96"/>
    </row>
    <row r="543" spans="2:28" s="99" customFormat="1" ht="15.75" customHeight="1" x14ac:dyDescent="0.25"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  <c r="AA543" s="96"/>
      <c r="AB543" s="96"/>
    </row>
    <row r="544" spans="2:28" s="99" customFormat="1" ht="15.75" customHeight="1" x14ac:dyDescent="0.25"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  <c r="AA544" s="96"/>
      <c r="AB544" s="96"/>
    </row>
    <row r="545" spans="2:28" s="99" customFormat="1" ht="15.75" customHeight="1" x14ac:dyDescent="0.25"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  <c r="AA545" s="96"/>
      <c r="AB545" s="96"/>
    </row>
    <row r="546" spans="2:28" s="99" customFormat="1" ht="15.75" customHeight="1" x14ac:dyDescent="0.25"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  <c r="AA546" s="96"/>
      <c r="AB546" s="96"/>
    </row>
    <row r="547" spans="2:28" s="99" customFormat="1" ht="15.75" customHeight="1" x14ac:dyDescent="0.25"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  <c r="AA547" s="96"/>
      <c r="AB547" s="96"/>
    </row>
    <row r="548" spans="2:28" s="99" customFormat="1" ht="15.75" customHeight="1" x14ac:dyDescent="0.25"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  <c r="AA548" s="96"/>
      <c r="AB548" s="96"/>
    </row>
    <row r="549" spans="2:28" s="99" customFormat="1" ht="15.75" customHeight="1" x14ac:dyDescent="0.25"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  <c r="AA549" s="96"/>
      <c r="AB549" s="96"/>
    </row>
    <row r="550" spans="2:28" s="99" customFormat="1" ht="15.75" customHeight="1" x14ac:dyDescent="0.25"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  <c r="AA550" s="96"/>
      <c r="AB550" s="96"/>
    </row>
    <row r="551" spans="2:28" s="99" customFormat="1" ht="15.75" customHeight="1" x14ac:dyDescent="0.25"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  <c r="AA551" s="96"/>
      <c r="AB551" s="96"/>
    </row>
    <row r="552" spans="2:28" s="99" customFormat="1" ht="15.75" customHeight="1" x14ac:dyDescent="0.25"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  <c r="AA552" s="96"/>
      <c r="AB552" s="96"/>
    </row>
    <row r="553" spans="2:28" s="99" customFormat="1" ht="15.75" customHeight="1" x14ac:dyDescent="0.25"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  <c r="AA553" s="96"/>
      <c r="AB553" s="96"/>
    </row>
    <row r="554" spans="2:28" s="99" customFormat="1" ht="15.75" customHeight="1" x14ac:dyDescent="0.25"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  <c r="AA554" s="96"/>
      <c r="AB554" s="96"/>
    </row>
    <row r="555" spans="2:28" s="99" customFormat="1" ht="15.75" customHeight="1" x14ac:dyDescent="0.25"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  <c r="AA555" s="96"/>
      <c r="AB555" s="96"/>
    </row>
    <row r="556" spans="2:28" s="99" customFormat="1" ht="15.75" customHeight="1" x14ac:dyDescent="0.25"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  <c r="AA556" s="96"/>
      <c r="AB556" s="96"/>
    </row>
    <row r="557" spans="2:28" s="99" customFormat="1" ht="15.75" customHeight="1" x14ac:dyDescent="0.25"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  <c r="AA557" s="96"/>
      <c r="AB557" s="96"/>
    </row>
    <row r="558" spans="2:28" s="99" customFormat="1" ht="15.75" customHeight="1" x14ac:dyDescent="0.25"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  <c r="AA558" s="96"/>
      <c r="AB558" s="96"/>
    </row>
    <row r="559" spans="2:28" s="99" customFormat="1" ht="15.75" customHeight="1" x14ac:dyDescent="0.25"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  <c r="AA559" s="96"/>
      <c r="AB559" s="96"/>
    </row>
    <row r="560" spans="2:28" s="99" customFormat="1" ht="15.75" customHeight="1" x14ac:dyDescent="0.25"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  <c r="AA560" s="96"/>
      <c r="AB560" s="96"/>
    </row>
    <row r="561" spans="2:28" s="99" customFormat="1" ht="15.75" customHeight="1" x14ac:dyDescent="0.25"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  <c r="AA561" s="96"/>
      <c r="AB561" s="96"/>
    </row>
    <row r="562" spans="2:28" s="99" customFormat="1" ht="15.75" customHeight="1" x14ac:dyDescent="0.25"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  <c r="AA562" s="96"/>
      <c r="AB562" s="96"/>
    </row>
    <row r="563" spans="2:28" s="99" customFormat="1" ht="15.75" customHeight="1" x14ac:dyDescent="0.25"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  <c r="AA563" s="96"/>
      <c r="AB563" s="96"/>
    </row>
    <row r="564" spans="2:28" s="99" customFormat="1" ht="15.75" customHeight="1" x14ac:dyDescent="0.25"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  <c r="AA564" s="96"/>
      <c r="AB564" s="96"/>
    </row>
    <row r="565" spans="2:28" s="99" customFormat="1" ht="15.75" customHeight="1" x14ac:dyDescent="0.25"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  <c r="AA565" s="96"/>
      <c r="AB565" s="96"/>
    </row>
    <row r="566" spans="2:28" s="99" customFormat="1" ht="15.75" customHeight="1" x14ac:dyDescent="0.25"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  <c r="AA566" s="96"/>
      <c r="AB566" s="96"/>
    </row>
    <row r="567" spans="2:28" s="99" customFormat="1" ht="15.75" customHeight="1" x14ac:dyDescent="0.25"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  <c r="AA567" s="96"/>
      <c r="AB567" s="96"/>
    </row>
    <row r="568" spans="2:28" s="99" customFormat="1" ht="15.75" customHeight="1" x14ac:dyDescent="0.25"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  <c r="AA568" s="96"/>
      <c r="AB568" s="96"/>
    </row>
    <row r="569" spans="2:28" s="99" customFormat="1" ht="15.75" customHeight="1" x14ac:dyDescent="0.25"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  <c r="AA569" s="96"/>
      <c r="AB569" s="96"/>
    </row>
    <row r="570" spans="2:28" s="99" customFormat="1" ht="15.75" customHeight="1" x14ac:dyDescent="0.25"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  <c r="AA570" s="96"/>
      <c r="AB570" s="96"/>
    </row>
    <row r="571" spans="2:28" s="99" customFormat="1" ht="15.75" customHeight="1" x14ac:dyDescent="0.25"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  <c r="AA571" s="96"/>
      <c r="AB571" s="96"/>
    </row>
    <row r="572" spans="2:28" s="99" customFormat="1" ht="15.75" customHeight="1" x14ac:dyDescent="0.25"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  <c r="AA572" s="96"/>
      <c r="AB572" s="96"/>
    </row>
    <row r="573" spans="2:28" s="99" customFormat="1" ht="15.75" customHeight="1" x14ac:dyDescent="0.25"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  <c r="AA573" s="96"/>
      <c r="AB573" s="96"/>
    </row>
    <row r="574" spans="2:28" s="99" customFormat="1" ht="15.75" customHeight="1" x14ac:dyDescent="0.25"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  <c r="AA574" s="96"/>
      <c r="AB574" s="96"/>
    </row>
    <row r="575" spans="2:28" s="99" customFormat="1" ht="15.75" customHeight="1" x14ac:dyDescent="0.25"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  <c r="AA575" s="96"/>
      <c r="AB575" s="96"/>
    </row>
    <row r="576" spans="2:28" s="99" customFormat="1" ht="15.75" customHeight="1" x14ac:dyDescent="0.25"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  <c r="AA576" s="96"/>
      <c r="AB576" s="96"/>
    </row>
    <row r="577" spans="2:28" s="99" customFormat="1" ht="15.75" customHeight="1" x14ac:dyDescent="0.25"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  <c r="AA577" s="96"/>
      <c r="AB577" s="96"/>
    </row>
    <row r="578" spans="2:28" s="99" customFormat="1" ht="15.75" customHeight="1" x14ac:dyDescent="0.25"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  <c r="AA578" s="96"/>
      <c r="AB578" s="96"/>
    </row>
    <row r="579" spans="2:28" s="99" customFormat="1" ht="15.75" customHeight="1" x14ac:dyDescent="0.25"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  <c r="AA579" s="96"/>
      <c r="AB579" s="96"/>
    </row>
    <row r="580" spans="2:28" s="99" customFormat="1" ht="15.75" customHeight="1" x14ac:dyDescent="0.25"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  <c r="AA580" s="96"/>
      <c r="AB580" s="96"/>
    </row>
    <row r="581" spans="2:28" s="99" customFormat="1" ht="15.75" customHeight="1" x14ac:dyDescent="0.25"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  <c r="AA581" s="96"/>
      <c r="AB581" s="96"/>
    </row>
    <row r="582" spans="2:28" s="99" customFormat="1" ht="15.75" customHeight="1" x14ac:dyDescent="0.25"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  <c r="AA582" s="96"/>
      <c r="AB582" s="96"/>
    </row>
    <row r="583" spans="2:28" s="99" customFormat="1" ht="15.75" customHeight="1" x14ac:dyDescent="0.25"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  <c r="AA583" s="96"/>
      <c r="AB583" s="96"/>
    </row>
    <row r="584" spans="2:28" s="99" customFormat="1" ht="15.75" customHeight="1" x14ac:dyDescent="0.25"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  <c r="AA584" s="96"/>
      <c r="AB584" s="96"/>
    </row>
    <row r="585" spans="2:28" s="99" customFormat="1" ht="15.75" customHeight="1" x14ac:dyDescent="0.25"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  <c r="AA585" s="96"/>
      <c r="AB585" s="96"/>
    </row>
    <row r="586" spans="2:28" s="99" customFormat="1" ht="15.75" customHeight="1" x14ac:dyDescent="0.25"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  <c r="AA586" s="96"/>
      <c r="AB586" s="96"/>
    </row>
    <row r="587" spans="2:28" s="99" customFormat="1" ht="15.75" customHeight="1" x14ac:dyDescent="0.25"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  <c r="AA587" s="96"/>
      <c r="AB587" s="96"/>
    </row>
    <row r="588" spans="2:28" s="99" customFormat="1" ht="15.75" customHeight="1" x14ac:dyDescent="0.25"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  <c r="AA588" s="96"/>
      <c r="AB588" s="96"/>
    </row>
    <row r="589" spans="2:28" s="99" customFormat="1" ht="15.75" customHeight="1" x14ac:dyDescent="0.25"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  <c r="AA589" s="96"/>
      <c r="AB589" s="96"/>
    </row>
    <row r="590" spans="2:28" s="99" customFormat="1" ht="15.75" customHeight="1" x14ac:dyDescent="0.25"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  <c r="AA590" s="96"/>
      <c r="AB590" s="96"/>
    </row>
    <row r="591" spans="2:28" s="99" customFormat="1" ht="15.75" customHeight="1" x14ac:dyDescent="0.25"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  <c r="AA591" s="96"/>
      <c r="AB591" s="96"/>
    </row>
    <row r="592" spans="2:28" s="99" customFormat="1" ht="15.75" customHeight="1" x14ac:dyDescent="0.25"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  <c r="AA592" s="96"/>
      <c r="AB592" s="96"/>
    </row>
    <row r="593" spans="2:28" s="99" customFormat="1" ht="15.75" customHeight="1" x14ac:dyDescent="0.25"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  <c r="AA593" s="96"/>
      <c r="AB593" s="96"/>
    </row>
    <row r="594" spans="2:28" s="99" customFormat="1" ht="15.75" customHeight="1" x14ac:dyDescent="0.25"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  <c r="AA594" s="96"/>
      <c r="AB594" s="96"/>
    </row>
    <row r="595" spans="2:28" s="99" customFormat="1" ht="15.75" customHeight="1" x14ac:dyDescent="0.25"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  <c r="AA595" s="96"/>
      <c r="AB595" s="96"/>
    </row>
    <row r="596" spans="2:28" s="99" customFormat="1" ht="15.75" customHeight="1" x14ac:dyDescent="0.25"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  <c r="AA596" s="96"/>
      <c r="AB596" s="96"/>
    </row>
    <row r="597" spans="2:28" s="99" customFormat="1" ht="15.75" customHeight="1" x14ac:dyDescent="0.25"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  <c r="AA597" s="96"/>
      <c r="AB597" s="96"/>
    </row>
    <row r="598" spans="2:28" s="99" customFormat="1" ht="15.75" customHeight="1" x14ac:dyDescent="0.25"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  <c r="AA598" s="96"/>
      <c r="AB598" s="96"/>
    </row>
    <row r="599" spans="2:28" s="99" customFormat="1" ht="15.75" customHeight="1" x14ac:dyDescent="0.25"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  <c r="AA599" s="96"/>
      <c r="AB599" s="96"/>
    </row>
    <row r="600" spans="2:28" s="99" customFormat="1" ht="15.75" customHeight="1" x14ac:dyDescent="0.25"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  <c r="AA600" s="96"/>
      <c r="AB600" s="96"/>
    </row>
    <row r="601" spans="2:28" s="99" customFormat="1" ht="15.75" customHeight="1" x14ac:dyDescent="0.25"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  <c r="AA601" s="96"/>
      <c r="AB601" s="96"/>
    </row>
    <row r="602" spans="2:28" s="99" customFormat="1" ht="15.75" customHeight="1" x14ac:dyDescent="0.25"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  <c r="AA602" s="96"/>
      <c r="AB602" s="96"/>
    </row>
    <row r="603" spans="2:28" s="99" customFormat="1" ht="15.75" customHeight="1" x14ac:dyDescent="0.25"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  <c r="AA603" s="96"/>
      <c r="AB603" s="96"/>
    </row>
    <row r="604" spans="2:28" s="99" customFormat="1" ht="15.75" customHeight="1" x14ac:dyDescent="0.25"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  <c r="AA604" s="96"/>
      <c r="AB604" s="96"/>
    </row>
    <row r="605" spans="2:28" s="99" customFormat="1" ht="15.75" customHeight="1" x14ac:dyDescent="0.25"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  <c r="AA605" s="96"/>
      <c r="AB605" s="96"/>
    </row>
    <row r="606" spans="2:28" s="99" customFormat="1" ht="15.75" customHeight="1" x14ac:dyDescent="0.25"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  <c r="AA606" s="96"/>
      <c r="AB606" s="96"/>
    </row>
    <row r="607" spans="2:28" s="99" customFormat="1" ht="15.75" customHeight="1" x14ac:dyDescent="0.25"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  <c r="AA607" s="96"/>
      <c r="AB607" s="96"/>
    </row>
    <row r="608" spans="2:28" s="99" customFormat="1" ht="15.75" customHeight="1" x14ac:dyDescent="0.25"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  <c r="AA608" s="96"/>
      <c r="AB608" s="96"/>
    </row>
    <row r="609" spans="2:28" s="99" customFormat="1" ht="15.75" customHeight="1" x14ac:dyDescent="0.25"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  <c r="AA609" s="96"/>
      <c r="AB609" s="96"/>
    </row>
    <row r="610" spans="2:28" s="99" customFormat="1" ht="15.75" customHeight="1" x14ac:dyDescent="0.25"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  <c r="AA610" s="96"/>
      <c r="AB610" s="96"/>
    </row>
    <row r="611" spans="2:28" s="99" customFormat="1" ht="15.75" customHeight="1" x14ac:dyDescent="0.25"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  <c r="AA611" s="96"/>
      <c r="AB611" s="96"/>
    </row>
    <row r="612" spans="2:28" s="99" customFormat="1" ht="15.75" customHeight="1" x14ac:dyDescent="0.25"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  <c r="AA612" s="96"/>
      <c r="AB612" s="96"/>
    </row>
    <row r="613" spans="2:28" s="99" customFormat="1" ht="15.75" customHeight="1" x14ac:dyDescent="0.25"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  <c r="AA613" s="96"/>
      <c r="AB613" s="96"/>
    </row>
    <row r="614" spans="2:28" s="99" customFormat="1" ht="15.75" customHeight="1" x14ac:dyDescent="0.25"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  <c r="AA614" s="96"/>
      <c r="AB614" s="96"/>
    </row>
    <row r="615" spans="2:28" s="99" customFormat="1" ht="15.75" customHeight="1" x14ac:dyDescent="0.25"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  <c r="AA615" s="96"/>
      <c r="AB615" s="96"/>
    </row>
    <row r="616" spans="2:28" s="99" customFormat="1" ht="15.75" customHeight="1" x14ac:dyDescent="0.25"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  <c r="AA616" s="96"/>
      <c r="AB616" s="96"/>
    </row>
    <row r="617" spans="2:28" s="99" customFormat="1" ht="15.75" customHeight="1" x14ac:dyDescent="0.25"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  <c r="AA617" s="96"/>
      <c r="AB617" s="96"/>
    </row>
    <row r="618" spans="2:28" s="99" customFormat="1" ht="15.75" customHeight="1" x14ac:dyDescent="0.25"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  <c r="AA618" s="96"/>
      <c r="AB618" s="96"/>
    </row>
    <row r="619" spans="2:28" s="99" customFormat="1" ht="15.75" customHeight="1" x14ac:dyDescent="0.25"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  <c r="AA619" s="96"/>
      <c r="AB619" s="96"/>
    </row>
    <row r="620" spans="2:28" s="99" customFormat="1" ht="15.75" customHeight="1" x14ac:dyDescent="0.25"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  <c r="AA620" s="96"/>
      <c r="AB620" s="96"/>
    </row>
    <row r="621" spans="2:28" s="99" customFormat="1" ht="15.75" customHeight="1" x14ac:dyDescent="0.25"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  <c r="AA621" s="96"/>
      <c r="AB621" s="96"/>
    </row>
    <row r="622" spans="2:28" s="99" customFormat="1" ht="15.75" customHeight="1" x14ac:dyDescent="0.25"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  <c r="AA622" s="96"/>
      <c r="AB622" s="96"/>
    </row>
    <row r="623" spans="2:28" s="99" customFormat="1" ht="15.75" customHeight="1" x14ac:dyDescent="0.25"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  <c r="AA623" s="96"/>
      <c r="AB623" s="96"/>
    </row>
    <row r="624" spans="2:28" s="99" customFormat="1" ht="15.75" customHeight="1" x14ac:dyDescent="0.25"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  <c r="AA624" s="96"/>
      <c r="AB624" s="96"/>
    </row>
    <row r="625" spans="2:28" s="99" customFormat="1" ht="15.75" customHeight="1" x14ac:dyDescent="0.25"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  <c r="AA625" s="96"/>
      <c r="AB625" s="96"/>
    </row>
    <row r="626" spans="2:28" s="99" customFormat="1" ht="15.75" customHeight="1" x14ac:dyDescent="0.25"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  <c r="AA626" s="96"/>
      <c r="AB626" s="96"/>
    </row>
    <row r="627" spans="2:28" s="99" customFormat="1" ht="15.75" customHeight="1" x14ac:dyDescent="0.25"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  <c r="AA627" s="96"/>
      <c r="AB627" s="96"/>
    </row>
    <row r="628" spans="2:28" s="99" customFormat="1" ht="15.75" customHeight="1" x14ac:dyDescent="0.25"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  <c r="AA628" s="96"/>
      <c r="AB628" s="96"/>
    </row>
    <row r="629" spans="2:28" s="99" customFormat="1" ht="15.75" customHeight="1" x14ac:dyDescent="0.25"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  <c r="AA629" s="96"/>
      <c r="AB629" s="96"/>
    </row>
    <row r="630" spans="2:28" s="99" customFormat="1" ht="15.75" customHeight="1" x14ac:dyDescent="0.25"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  <c r="AA630" s="96"/>
      <c r="AB630" s="96"/>
    </row>
    <row r="631" spans="2:28" s="99" customFormat="1" ht="15.75" customHeight="1" x14ac:dyDescent="0.25"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  <c r="AA631" s="96"/>
      <c r="AB631" s="96"/>
    </row>
    <row r="632" spans="2:28" s="99" customFormat="1" ht="15.75" customHeight="1" x14ac:dyDescent="0.25"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  <c r="AA632" s="96"/>
      <c r="AB632" s="96"/>
    </row>
    <row r="633" spans="2:28" s="99" customFormat="1" ht="15.75" customHeight="1" x14ac:dyDescent="0.25"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  <c r="AA633" s="96"/>
      <c r="AB633" s="96"/>
    </row>
    <row r="634" spans="2:28" s="99" customFormat="1" ht="15.75" customHeight="1" x14ac:dyDescent="0.25"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  <c r="AA634" s="96"/>
      <c r="AB634" s="96"/>
    </row>
    <row r="635" spans="2:28" s="99" customFormat="1" ht="15.75" customHeight="1" x14ac:dyDescent="0.25"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  <c r="AA635" s="96"/>
      <c r="AB635" s="96"/>
    </row>
    <row r="636" spans="2:28" s="99" customFormat="1" ht="15.75" customHeight="1" x14ac:dyDescent="0.25"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  <c r="AA636" s="96"/>
      <c r="AB636" s="96"/>
    </row>
    <row r="637" spans="2:28" s="99" customFormat="1" ht="15.75" customHeight="1" x14ac:dyDescent="0.25"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  <c r="AA637" s="96"/>
      <c r="AB637" s="96"/>
    </row>
    <row r="638" spans="2:28" s="99" customFormat="1" ht="15.75" customHeight="1" x14ac:dyDescent="0.25"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  <c r="AA638" s="96"/>
      <c r="AB638" s="96"/>
    </row>
    <row r="639" spans="2:28" s="99" customFormat="1" ht="15.75" customHeight="1" x14ac:dyDescent="0.25"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  <c r="AA639" s="96"/>
      <c r="AB639" s="96"/>
    </row>
    <row r="640" spans="2:28" s="99" customFormat="1" ht="15.75" customHeight="1" x14ac:dyDescent="0.25"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  <c r="AA640" s="96"/>
      <c r="AB640" s="96"/>
    </row>
    <row r="641" spans="2:28" s="99" customFormat="1" ht="15.75" customHeight="1" x14ac:dyDescent="0.25"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  <c r="AA641" s="96"/>
      <c r="AB641" s="96"/>
    </row>
    <row r="642" spans="2:28" s="99" customFormat="1" ht="15.75" customHeight="1" x14ac:dyDescent="0.25"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  <c r="AA642" s="96"/>
      <c r="AB642" s="96"/>
    </row>
    <row r="643" spans="2:28" s="99" customFormat="1" ht="15.75" customHeight="1" x14ac:dyDescent="0.25"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  <c r="AA643" s="96"/>
      <c r="AB643" s="96"/>
    </row>
    <row r="644" spans="2:28" s="99" customFormat="1" ht="15.75" customHeight="1" x14ac:dyDescent="0.25"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  <c r="AA644" s="96"/>
      <c r="AB644" s="96"/>
    </row>
    <row r="645" spans="2:28" s="99" customFormat="1" ht="15.75" customHeight="1" x14ac:dyDescent="0.25"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  <c r="AA645" s="96"/>
      <c r="AB645" s="96"/>
    </row>
    <row r="646" spans="2:28" s="99" customFormat="1" ht="15.75" customHeight="1" x14ac:dyDescent="0.25"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  <c r="AA646" s="96"/>
      <c r="AB646" s="96"/>
    </row>
    <row r="647" spans="2:28" s="99" customFormat="1" ht="15.75" customHeight="1" x14ac:dyDescent="0.25"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  <c r="AA647" s="96"/>
      <c r="AB647" s="96"/>
    </row>
    <row r="648" spans="2:28" s="99" customFormat="1" ht="15.75" customHeight="1" x14ac:dyDescent="0.25"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  <c r="AA648" s="96"/>
      <c r="AB648" s="96"/>
    </row>
    <row r="649" spans="2:28" s="99" customFormat="1" ht="15.75" customHeight="1" x14ac:dyDescent="0.25"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  <c r="AA649" s="96"/>
      <c r="AB649" s="96"/>
    </row>
    <row r="650" spans="2:28" s="99" customFormat="1" ht="15.75" customHeight="1" x14ac:dyDescent="0.25"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  <c r="AA650" s="96"/>
      <c r="AB650" s="96"/>
    </row>
    <row r="651" spans="2:28" s="99" customFormat="1" ht="15.75" customHeight="1" x14ac:dyDescent="0.25"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  <c r="AA651" s="96"/>
      <c r="AB651" s="96"/>
    </row>
    <row r="652" spans="2:28" s="99" customFormat="1" ht="15.75" customHeight="1" x14ac:dyDescent="0.25"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  <c r="AA652" s="96"/>
      <c r="AB652" s="96"/>
    </row>
    <row r="653" spans="2:28" s="99" customFormat="1" ht="15.75" customHeight="1" x14ac:dyDescent="0.25"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  <c r="AA653" s="96"/>
      <c r="AB653" s="96"/>
    </row>
    <row r="654" spans="2:28" s="99" customFormat="1" ht="15.75" customHeight="1" x14ac:dyDescent="0.25"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  <c r="AA654" s="96"/>
      <c r="AB654" s="96"/>
    </row>
    <row r="655" spans="2:28" s="99" customFormat="1" ht="15.75" customHeight="1" x14ac:dyDescent="0.25"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  <c r="AA655" s="96"/>
      <c r="AB655" s="96"/>
    </row>
    <row r="656" spans="2:28" s="99" customFormat="1" ht="15.75" customHeight="1" x14ac:dyDescent="0.25"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  <c r="AA656" s="96"/>
      <c r="AB656" s="96"/>
    </row>
    <row r="657" spans="2:28" s="99" customFormat="1" ht="15.75" customHeight="1" x14ac:dyDescent="0.25"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  <c r="AA657" s="96"/>
      <c r="AB657" s="96"/>
    </row>
    <row r="658" spans="2:28" s="99" customFormat="1" ht="15.75" customHeight="1" x14ac:dyDescent="0.25"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  <c r="AA658" s="96"/>
      <c r="AB658" s="96"/>
    </row>
    <row r="659" spans="2:28" s="99" customFormat="1" ht="15.75" customHeight="1" x14ac:dyDescent="0.25"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  <c r="AA659" s="96"/>
      <c r="AB659" s="96"/>
    </row>
    <row r="660" spans="2:28" s="99" customFormat="1" ht="15.75" customHeight="1" x14ac:dyDescent="0.25"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  <c r="AA660" s="96"/>
      <c r="AB660" s="96"/>
    </row>
    <row r="661" spans="2:28" s="99" customFormat="1" ht="15.75" customHeight="1" x14ac:dyDescent="0.25"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  <c r="AA661" s="96"/>
      <c r="AB661" s="96"/>
    </row>
    <row r="662" spans="2:28" s="99" customFormat="1" ht="15.75" customHeight="1" x14ac:dyDescent="0.25"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  <c r="AA662" s="96"/>
      <c r="AB662" s="96"/>
    </row>
    <row r="663" spans="2:28" s="99" customFormat="1" ht="15.75" customHeight="1" x14ac:dyDescent="0.25"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  <c r="AA663" s="96"/>
      <c r="AB663" s="96"/>
    </row>
    <row r="664" spans="2:28" s="99" customFormat="1" ht="15.75" customHeight="1" x14ac:dyDescent="0.25"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  <c r="AA664" s="96"/>
      <c r="AB664" s="96"/>
    </row>
    <row r="665" spans="2:28" s="99" customFormat="1" ht="15.75" customHeight="1" x14ac:dyDescent="0.25"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  <c r="AA665" s="96"/>
      <c r="AB665" s="96"/>
    </row>
    <row r="666" spans="2:28" s="99" customFormat="1" ht="15.75" customHeight="1" x14ac:dyDescent="0.25"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  <c r="AA666" s="96"/>
      <c r="AB666" s="96"/>
    </row>
    <row r="667" spans="2:28" s="99" customFormat="1" ht="15.75" customHeight="1" x14ac:dyDescent="0.25"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  <c r="AA667" s="96"/>
      <c r="AB667" s="96"/>
    </row>
    <row r="668" spans="2:28" s="99" customFormat="1" ht="15.75" customHeight="1" x14ac:dyDescent="0.25"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  <c r="AA668" s="96"/>
      <c r="AB668" s="96"/>
    </row>
    <row r="669" spans="2:28" s="99" customFormat="1" ht="15.75" customHeight="1" x14ac:dyDescent="0.25"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  <c r="AA669" s="96"/>
      <c r="AB669" s="96"/>
    </row>
    <row r="670" spans="2:28" s="99" customFormat="1" ht="15.75" customHeight="1" x14ac:dyDescent="0.25"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  <c r="AA670" s="96"/>
      <c r="AB670" s="96"/>
    </row>
    <row r="671" spans="2:28" s="99" customFormat="1" ht="15.75" customHeight="1" x14ac:dyDescent="0.25"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  <c r="AA671" s="96"/>
      <c r="AB671" s="96"/>
    </row>
    <row r="672" spans="2:28" s="99" customFormat="1" ht="15.75" customHeight="1" x14ac:dyDescent="0.25"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  <c r="AA672" s="96"/>
      <c r="AB672" s="96"/>
    </row>
    <row r="673" spans="2:28" s="99" customFormat="1" ht="15.75" customHeight="1" x14ac:dyDescent="0.25"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  <c r="AA673" s="96"/>
      <c r="AB673" s="96"/>
    </row>
    <row r="674" spans="2:28" s="99" customFormat="1" ht="15.75" customHeight="1" x14ac:dyDescent="0.25"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  <c r="AA674" s="96"/>
      <c r="AB674" s="96"/>
    </row>
    <row r="675" spans="2:28" s="99" customFormat="1" ht="15.75" customHeight="1" x14ac:dyDescent="0.25"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  <c r="AA675" s="96"/>
      <c r="AB675" s="96"/>
    </row>
    <row r="676" spans="2:28" s="99" customFormat="1" ht="15.75" customHeight="1" x14ac:dyDescent="0.25"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  <c r="AA676" s="96"/>
      <c r="AB676" s="96"/>
    </row>
    <row r="677" spans="2:28" s="99" customFormat="1" ht="15.75" customHeight="1" x14ac:dyDescent="0.25"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  <c r="AA677" s="96"/>
      <c r="AB677" s="96"/>
    </row>
    <row r="678" spans="2:28" s="99" customFormat="1" ht="15.75" customHeight="1" x14ac:dyDescent="0.25"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  <c r="AA678" s="96"/>
      <c r="AB678" s="96"/>
    </row>
    <row r="679" spans="2:28" s="99" customFormat="1" ht="15.75" customHeight="1" x14ac:dyDescent="0.25"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  <c r="AA679" s="96"/>
      <c r="AB679" s="96"/>
    </row>
    <row r="680" spans="2:28" s="99" customFormat="1" ht="15.75" customHeight="1" x14ac:dyDescent="0.25"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  <c r="AA680" s="96"/>
      <c r="AB680" s="96"/>
    </row>
    <row r="681" spans="2:28" s="99" customFormat="1" ht="15.75" customHeight="1" x14ac:dyDescent="0.25"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  <c r="AA681" s="96"/>
      <c r="AB681" s="96"/>
    </row>
    <row r="682" spans="2:28" s="99" customFormat="1" ht="15.75" customHeight="1" x14ac:dyDescent="0.25"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  <c r="AA682" s="96"/>
      <c r="AB682" s="96"/>
    </row>
    <row r="683" spans="2:28" s="99" customFormat="1" ht="15.75" customHeight="1" x14ac:dyDescent="0.25"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  <c r="AA683" s="96"/>
      <c r="AB683" s="96"/>
    </row>
    <row r="684" spans="2:28" s="99" customFormat="1" ht="15.75" customHeight="1" x14ac:dyDescent="0.25"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  <c r="AA684" s="96"/>
      <c r="AB684" s="96"/>
    </row>
    <row r="685" spans="2:28" s="99" customFormat="1" ht="15.75" customHeight="1" x14ac:dyDescent="0.25"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  <c r="AA685" s="96"/>
      <c r="AB685" s="96"/>
    </row>
    <row r="686" spans="2:28" s="99" customFormat="1" ht="15.75" customHeight="1" x14ac:dyDescent="0.25"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  <c r="AA686" s="96"/>
      <c r="AB686" s="96"/>
    </row>
    <row r="687" spans="2:28" s="99" customFormat="1" ht="15.75" customHeight="1" x14ac:dyDescent="0.25"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  <c r="AA687" s="96"/>
      <c r="AB687" s="96"/>
    </row>
    <row r="688" spans="2:28" s="99" customFormat="1" ht="15.75" customHeight="1" x14ac:dyDescent="0.25"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  <c r="AA688" s="96"/>
      <c r="AB688" s="96"/>
    </row>
    <row r="689" spans="2:28" s="99" customFormat="1" ht="15.75" customHeight="1" x14ac:dyDescent="0.25"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  <c r="AA689" s="96"/>
      <c r="AB689" s="96"/>
    </row>
    <row r="690" spans="2:28" s="99" customFormat="1" ht="15.75" customHeight="1" x14ac:dyDescent="0.25"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  <c r="AA690" s="96"/>
      <c r="AB690" s="96"/>
    </row>
    <row r="691" spans="2:28" s="99" customFormat="1" ht="15.75" customHeight="1" x14ac:dyDescent="0.25"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  <c r="AA691" s="96"/>
      <c r="AB691" s="96"/>
    </row>
    <row r="692" spans="2:28" s="99" customFormat="1" ht="15.75" customHeight="1" x14ac:dyDescent="0.25"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  <c r="AA692" s="96"/>
      <c r="AB692" s="96"/>
    </row>
    <row r="693" spans="2:28" s="99" customFormat="1" ht="15.75" customHeight="1" x14ac:dyDescent="0.25"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  <c r="AA693" s="96"/>
      <c r="AB693" s="96"/>
    </row>
    <row r="694" spans="2:28" s="99" customFormat="1" ht="15.75" customHeight="1" x14ac:dyDescent="0.25"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  <c r="AA694" s="96"/>
      <c r="AB694" s="96"/>
    </row>
    <row r="695" spans="2:28" s="99" customFormat="1" ht="15.75" customHeight="1" x14ac:dyDescent="0.25"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  <c r="AA695" s="96"/>
      <c r="AB695" s="96"/>
    </row>
    <row r="696" spans="2:28" s="99" customFormat="1" ht="15.75" customHeight="1" x14ac:dyDescent="0.25"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  <c r="AA696" s="96"/>
      <c r="AB696" s="96"/>
    </row>
    <row r="697" spans="2:28" s="99" customFormat="1" ht="15.75" customHeight="1" x14ac:dyDescent="0.25"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  <c r="AA697" s="96"/>
      <c r="AB697" s="96"/>
    </row>
    <row r="698" spans="2:28" s="99" customFormat="1" ht="15.75" customHeight="1" x14ac:dyDescent="0.25"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  <c r="AA698" s="96"/>
      <c r="AB698" s="96"/>
    </row>
    <row r="699" spans="2:28" s="99" customFormat="1" ht="15.75" customHeight="1" x14ac:dyDescent="0.25"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  <c r="AA699" s="96"/>
      <c r="AB699" s="96"/>
    </row>
    <row r="700" spans="2:28" s="99" customFormat="1" ht="15.75" customHeight="1" x14ac:dyDescent="0.25"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  <c r="AA700" s="96"/>
      <c r="AB700" s="96"/>
    </row>
    <row r="701" spans="2:28" s="99" customFormat="1" ht="15.75" customHeight="1" x14ac:dyDescent="0.25"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  <c r="AA701" s="96"/>
      <c r="AB701" s="96"/>
    </row>
    <row r="702" spans="2:28" s="99" customFormat="1" ht="15.75" customHeight="1" x14ac:dyDescent="0.25"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  <c r="AA702" s="96"/>
      <c r="AB702" s="96"/>
    </row>
    <row r="703" spans="2:28" s="99" customFormat="1" ht="15.75" customHeight="1" x14ac:dyDescent="0.25"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  <c r="AA703" s="96"/>
      <c r="AB703" s="96"/>
    </row>
    <row r="704" spans="2:28" s="99" customFormat="1" ht="15.75" customHeight="1" x14ac:dyDescent="0.25"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  <c r="AA704" s="96"/>
      <c r="AB704" s="96"/>
    </row>
    <row r="705" spans="2:28" s="99" customFormat="1" ht="15.75" customHeight="1" x14ac:dyDescent="0.25"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  <c r="AA705" s="96"/>
      <c r="AB705" s="96"/>
    </row>
    <row r="706" spans="2:28" s="99" customFormat="1" ht="15.75" customHeight="1" x14ac:dyDescent="0.25"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  <c r="AA706" s="96"/>
      <c r="AB706" s="96"/>
    </row>
    <row r="707" spans="2:28" s="99" customFormat="1" ht="15.75" customHeight="1" x14ac:dyDescent="0.25"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  <c r="AA707" s="96"/>
      <c r="AB707" s="96"/>
    </row>
    <row r="708" spans="2:28" s="99" customFormat="1" ht="15.75" customHeight="1" x14ac:dyDescent="0.25"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  <c r="AA708" s="96"/>
      <c r="AB708" s="96"/>
    </row>
    <row r="709" spans="2:28" s="99" customFormat="1" ht="15.75" customHeight="1" x14ac:dyDescent="0.25"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  <c r="AA709" s="96"/>
      <c r="AB709" s="96"/>
    </row>
    <row r="710" spans="2:28" s="99" customFormat="1" ht="15.75" customHeight="1" x14ac:dyDescent="0.25"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  <c r="AA710" s="96"/>
      <c r="AB710" s="96"/>
    </row>
    <row r="711" spans="2:28" s="99" customFormat="1" ht="15.75" customHeight="1" x14ac:dyDescent="0.25"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  <c r="AA711" s="96"/>
      <c r="AB711" s="96"/>
    </row>
    <row r="712" spans="2:28" s="99" customFormat="1" ht="15.75" customHeight="1" x14ac:dyDescent="0.25"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  <c r="AA712" s="96"/>
      <c r="AB712" s="96"/>
    </row>
    <row r="713" spans="2:28" s="99" customFormat="1" ht="15.75" customHeight="1" x14ac:dyDescent="0.25"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  <c r="AA713" s="96"/>
      <c r="AB713" s="96"/>
    </row>
    <row r="714" spans="2:28" s="99" customFormat="1" ht="15.75" customHeight="1" x14ac:dyDescent="0.25"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  <c r="AA714" s="96"/>
      <c r="AB714" s="96"/>
    </row>
    <row r="715" spans="2:28" s="99" customFormat="1" ht="15.75" customHeight="1" x14ac:dyDescent="0.25"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  <c r="AA715" s="96"/>
      <c r="AB715" s="96"/>
    </row>
    <row r="716" spans="2:28" s="99" customFormat="1" ht="15.75" customHeight="1" x14ac:dyDescent="0.25"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  <c r="AA716" s="96"/>
      <c r="AB716" s="96"/>
    </row>
    <row r="717" spans="2:28" s="99" customFormat="1" ht="15.75" customHeight="1" x14ac:dyDescent="0.25"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  <c r="AA717" s="96"/>
      <c r="AB717" s="96"/>
    </row>
    <row r="718" spans="2:28" s="99" customFormat="1" ht="15.75" customHeight="1" x14ac:dyDescent="0.25"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  <c r="AA718" s="96"/>
      <c r="AB718" s="96"/>
    </row>
    <row r="719" spans="2:28" s="99" customFormat="1" ht="15.75" customHeight="1" x14ac:dyDescent="0.25"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  <c r="AA719" s="96"/>
      <c r="AB719" s="96"/>
    </row>
    <row r="720" spans="2:28" s="99" customFormat="1" ht="15.75" customHeight="1" x14ac:dyDescent="0.25"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  <c r="AA720" s="96"/>
      <c r="AB720" s="96"/>
    </row>
    <row r="721" spans="2:28" s="99" customFormat="1" ht="15.75" customHeight="1" x14ac:dyDescent="0.25"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  <c r="AA721" s="96"/>
      <c r="AB721" s="96"/>
    </row>
    <row r="722" spans="2:28" s="99" customFormat="1" ht="15.75" customHeight="1" x14ac:dyDescent="0.25"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  <c r="AA722" s="96"/>
      <c r="AB722" s="96"/>
    </row>
    <row r="723" spans="2:28" s="99" customFormat="1" ht="15.75" customHeight="1" x14ac:dyDescent="0.25"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  <c r="AA723" s="96"/>
      <c r="AB723" s="96"/>
    </row>
    <row r="724" spans="2:28" s="99" customFormat="1" ht="15.75" customHeight="1" x14ac:dyDescent="0.25"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  <c r="AA724" s="96"/>
      <c r="AB724" s="96"/>
    </row>
    <row r="725" spans="2:28" s="99" customFormat="1" ht="15.75" customHeight="1" x14ac:dyDescent="0.25"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  <c r="AA725" s="96"/>
      <c r="AB725" s="96"/>
    </row>
    <row r="726" spans="2:28" s="99" customFormat="1" ht="15.75" customHeight="1" x14ac:dyDescent="0.25"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  <c r="AA726" s="96"/>
      <c r="AB726" s="96"/>
    </row>
    <row r="727" spans="2:28" s="99" customFormat="1" ht="15.75" customHeight="1" x14ac:dyDescent="0.25"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  <c r="AA727" s="96"/>
      <c r="AB727" s="96"/>
    </row>
    <row r="728" spans="2:28" s="99" customFormat="1" ht="15.75" customHeight="1" x14ac:dyDescent="0.25"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  <c r="AA728" s="96"/>
      <c r="AB728" s="96"/>
    </row>
    <row r="729" spans="2:28" s="99" customFormat="1" ht="15.75" customHeight="1" x14ac:dyDescent="0.25"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  <c r="AA729" s="96"/>
      <c r="AB729" s="96"/>
    </row>
    <row r="730" spans="2:28" s="99" customFormat="1" ht="15.75" customHeight="1" x14ac:dyDescent="0.25"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  <c r="AA730" s="96"/>
      <c r="AB730" s="96"/>
    </row>
    <row r="731" spans="2:28" s="99" customFormat="1" ht="15.75" customHeight="1" x14ac:dyDescent="0.25"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  <c r="AA731" s="96"/>
      <c r="AB731" s="96"/>
    </row>
    <row r="732" spans="2:28" s="99" customFormat="1" ht="15.75" customHeight="1" x14ac:dyDescent="0.25"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  <c r="AA732" s="96"/>
      <c r="AB732" s="96"/>
    </row>
    <row r="733" spans="2:28" s="99" customFormat="1" ht="15.75" customHeight="1" x14ac:dyDescent="0.25"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  <c r="AA733" s="96"/>
      <c r="AB733" s="96"/>
    </row>
    <row r="734" spans="2:28" s="99" customFormat="1" ht="15.75" customHeight="1" x14ac:dyDescent="0.25"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  <c r="AA734" s="96"/>
      <c r="AB734" s="96"/>
    </row>
    <row r="735" spans="2:28" s="99" customFormat="1" ht="15.75" customHeight="1" x14ac:dyDescent="0.25"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  <c r="AA735" s="96"/>
      <c r="AB735" s="96"/>
    </row>
    <row r="736" spans="2:28" s="99" customFormat="1" ht="15.75" customHeight="1" x14ac:dyDescent="0.25"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  <c r="AA736" s="96"/>
      <c r="AB736" s="96"/>
    </row>
    <row r="737" spans="2:28" s="99" customFormat="1" ht="15.75" customHeight="1" x14ac:dyDescent="0.25"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  <c r="AA737" s="96"/>
      <c r="AB737" s="96"/>
    </row>
    <row r="738" spans="2:28" s="99" customFormat="1" ht="15.75" customHeight="1" x14ac:dyDescent="0.25"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  <c r="AA738" s="96"/>
      <c r="AB738" s="96"/>
    </row>
    <row r="739" spans="2:28" s="99" customFormat="1" ht="15.75" customHeight="1" x14ac:dyDescent="0.25"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  <c r="AA739" s="96"/>
      <c r="AB739" s="96"/>
    </row>
    <row r="740" spans="2:28" s="99" customFormat="1" ht="15.75" customHeight="1" x14ac:dyDescent="0.25"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  <c r="AA740" s="96"/>
      <c r="AB740" s="96"/>
    </row>
    <row r="741" spans="2:28" s="99" customFormat="1" ht="15.75" customHeight="1" x14ac:dyDescent="0.25"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  <c r="AA741" s="96"/>
      <c r="AB741" s="96"/>
    </row>
    <row r="742" spans="2:28" s="99" customFormat="1" ht="15.75" customHeight="1" x14ac:dyDescent="0.25"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  <c r="AA742" s="96"/>
      <c r="AB742" s="96"/>
    </row>
    <row r="743" spans="2:28" s="99" customFormat="1" ht="15.75" customHeight="1" x14ac:dyDescent="0.25"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  <c r="AA743" s="96"/>
      <c r="AB743" s="96"/>
    </row>
    <row r="744" spans="2:28" s="99" customFormat="1" ht="15.75" customHeight="1" x14ac:dyDescent="0.25"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  <c r="AA744" s="96"/>
      <c r="AB744" s="96"/>
    </row>
    <row r="745" spans="2:28" s="99" customFormat="1" ht="15.75" customHeight="1" x14ac:dyDescent="0.25"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  <c r="AA745" s="96"/>
      <c r="AB745" s="96"/>
    </row>
    <row r="746" spans="2:28" s="99" customFormat="1" ht="15.75" customHeight="1" x14ac:dyDescent="0.25"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  <c r="AA746" s="96"/>
      <c r="AB746" s="96"/>
    </row>
    <row r="747" spans="2:28" s="99" customFormat="1" ht="15.75" customHeight="1" x14ac:dyDescent="0.25"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  <c r="AA747" s="96"/>
      <c r="AB747" s="96"/>
    </row>
    <row r="748" spans="2:28" s="99" customFormat="1" ht="15.75" customHeight="1" x14ac:dyDescent="0.25"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  <c r="AA748" s="96"/>
      <c r="AB748" s="96"/>
    </row>
    <row r="749" spans="2:28" s="99" customFormat="1" ht="15.75" customHeight="1" x14ac:dyDescent="0.25"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  <c r="AA749" s="96"/>
      <c r="AB749" s="96"/>
    </row>
    <row r="750" spans="2:28" s="99" customFormat="1" ht="15.75" customHeight="1" x14ac:dyDescent="0.25"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  <c r="AA750" s="96"/>
      <c r="AB750" s="96"/>
    </row>
    <row r="751" spans="2:28" s="99" customFormat="1" ht="15.75" customHeight="1" x14ac:dyDescent="0.25"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  <c r="AA751" s="96"/>
      <c r="AB751" s="96"/>
    </row>
    <row r="752" spans="2:28" s="99" customFormat="1" ht="15.75" customHeight="1" x14ac:dyDescent="0.25"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  <c r="AA752" s="96"/>
      <c r="AB752" s="96"/>
    </row>
    <row r="753" spans="2:28" s="99" customFormat="1" ht="15.75" customHeight="1" x14ac:dyDescent="0.25"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  <c r="AA753" s="96"/>
      <c r="AB753" s="96"/>
    </row>
    <row r="754" spans="2:28" s="99" customFormat="1" ht="15.75" customHeight="1" x14ac:dyDescent="0.25"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  <c r="AA754" s="96"/>
      <c r="AB754" s="96"/>
    </row>
    <row r="755" spans="2:28" s="99" customFormat="1" ht="15.75" customHeight="1" x14ac:dyDescent="0.25"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  <c r="AA755" s="96"/>
      <c r="AB755" s="96"/>
    </row>
    <row r="756" spans="2:28" s="99" customFormat="1" ht="15.75" customHeight="1" x14ac:dyDescent="0.25"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  <c r="AA756" s="96"/>
      <c r="AB756" s="96"/>
    </row>
    <row r="757" spans="2:28" s="99" customFormat="1" ht="15.75" customHeight="1" x14ac:dyDescent="0.25"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  <c r="AA757" s="96"/>
      <c r="AB757" s="96"/>
    </row>
    <row r="758" spans="2:28" s="99" customFormat="1" ht="15.75" customHeight="1" x14ac:dyDescent="0.25"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  <c r="AA758" s="96"/>
      <c r="AB758" s="96"/>
    </row>
    <row r="759" spans="2:28" s="99" customFormat="1" ht="15.75" customHeight="1" x14ac:dyDescent="0.25"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  <c r="AA759" s="96"/>
      <c r="AB759" s="96"/>
    </row>
    <row r="760" spans="2:28" s="99" customFormat="1" ht="15.75" customHeight="1" x14ac:dyDescent="0.25"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  <c r="AA760" s="96"/>
      <c r="AB760" s="96"/>
    </row>
    <row r="761" spans="2:28" s="99" customFormat="1" ht="15.75" customHeight="1" x14ac:dyDescent="0.25"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  <c r="AA761" s="96"/>
      <c r="AB761" s="96"/>
    </row>
    <row r="762" spans="2:28" s="99" customFormat="1" ht="15.75" customHeight="1" x14ac:dyDescent="0.25"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  <c r="AA762" s="96"/>
      <c r="AB762" s="96"/>
    </row>
    <row r="763" spans="2:28" s="99" customFormat="1" ht="15.75" customHeight="1" x14ac:dyDescent="0.25"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  <c r="AA763" s="96"/>
      <c r="AB763" s="96"/>
    </row>
    <row r="764" spans="2:28" s="99" customFormat="1" ht="15.75" customHeight="1" x14ac:dyDescent="0.25"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  <c r="AA764" s="96"/>
      <c r="AB764" s="96"/>
    </row>
    <row r="765" spans="2:28" s="99" customFormat="1" ht="15.75" customHeight="1" x14ac:dyDescent="0.25"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  <c r="AA765" s="96"/>
      <c r="AB765" s="96"/>
    </row>
    <row r="766" spans="2:28" s="99" customFormat="1" ht="15.75" customHeight="1" x14ac:dyDescent="0.25"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  <c r="AA766" s="96"/>
      <c r="AB766" s="96"/>
    </row>
    <row r="767" spans="2:28" s="99" customFormat="1" ht="15.75" customHeight="1" x14ac:dyDescent="0.25"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  <c r="AA767" s="96"/>
      <c r="AB767" s="96"/>
    </row>
    <row r="768" spans="2:28" s="99" customFormat="1" ht="15.75" customHeight="1" x14ac:dyDescent="0.25"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  <c r="AA768" s="96"/>
      <c r="AB768" s="96"/>
    </row>
    <row r="769" spans="2:28" s="99" customFormat="1" ht="15.75" customHeight="1" x14ac:dyDescent="0.25"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  <c r="AA769" s="96"/>
      <c r="AB769" s="96"/>
    </row>
    <row r="770" spans="2:28" s="99" customFormat="1" ht="15.75" customHeight="1" x14ac:dyDescent="0.25"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  <c r="AA770" s="96"/>
      <c r="AB770" s="96"/>
    </row>
    <row r="771" spans="2:28" s="99" customFormat="1" ht="15.75" customHeight="1" x14ac:dyDescent="0.25"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  <c r="AA771" s="96"/>
      <c r="AB771" s="96"/>
    </row>
    <row r="772" spans="2:28" s="99" customFormat="1" ht="15.75" customHeight="1" x14ac:dyDescent="0.25"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  <c r="AA772" s="96"/>
      <c r="AB772" s="96"/>
    </row>
    <row r="773" spans="2:28" s="99" customFormat="1" ht="15.75" customHeight="1" x14ac:dyDescent="0.25"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  <c r="AA773" s="96"/>
      <c r="AB773" s="96"/>
    </row>
    <row r="774" spans="2:28" s="99" customFormat="1" ht="15.75" customHeight="1" x14ac:dyDescent="0.25"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  <c r="AA774" s="96"/>
      <c r="AB774" s="96"/>
    </row>
    <row r="775" spans="2:28" s="99" customFormat="1" ht="15.75" customHeight="1" x14ac:dyDescent="0.25"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  <c r="AA775" s="96"/>
      <c r="AB775" s="96"/>
    </row>
    <row r="776" spans="2:28" s="99" customFormat="1" ht="15.75" customHeight="1" x14ac:dyDescent="0.25"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  <c r="AA776" s="96"/>
      <c r="AB776" s="96"/>
    </row>
    <row r="777" spans="2:28" s="99" customFormat="1" ht="15.75" customHeight="1" x14ac:dyDescent="0.25"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  <c r="AA777" s="96"/>
      <c r="AB777" s="96"/>
    </row>
    <row r="778" spans="2:28" s="99" customFormat="1" ht="15.75" customHeight="1" x14ac:dyDescent="0.25"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  <c r="AA778" s="96"/>
      <c r="AB778" s="96"/>
    </row>
    <row r="779" spans="2:28" s="99" customFormat="1" ht="15.75" customHeight="1" x14ac:dyDescent="0.25"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  <c r="AA779" s="96"/>
      <c r="AB779" s="96"/>
    </row>
    <row r="780" spans="2:28" s="99" customFormat="1" ht="15.75" customHeight="1" x14ac:dyDescent="0.25"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  <c r="AA780" s="96"/>
      <c r="AB780" s="96"/>
    </row>
    <row r="781" spans="2:28" s="99" customFormat="1" ht="15.75" customHeight="1" x14ac:dyDescent="0.25"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  <c r="AA781" s="96"/>
      <c r="AB781" s="96"/>
    </row>
    <row r="782" spans="2:28" s="99" customFormat="1" ht="15.75" customHeight="1" x14ac:dyDescent="0.25"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  <c r="AA782" s="96"/>
      <c r="AB782" s="96"/>
    </row>
    <row r="783" spans="2:28" s="99" customFormat="1" ht="15.75" customHeight="1" x14ac:dyDescent="0.25"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  <c r="AA783" s="96"/>
      <c r="AB783" s="96"/>
    </row>
    <row r="784" spans="2:28" s="99" customFormat="1" ht="15.75" customHeight="1" x14ac:dyDescent="0.25"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  <c r="AA784" s="96"/>
      <c r="AB784" s="96"/>
    </row>
    <row r="785" spans="2:28" s="99" customFormat="1" ht="15.75" customHeight="1" x14ac:dyDescent="0.25"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  <c r="AA785" s="96"/>
      <c r="AB785" s="96"/>
    </row>
    <row r="786" spans="2:28" s="99" customFormat="1" ht="15.75" customHeight="1" x14ac:dyDescent="0.25"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  <c r="AA786" s="96"/>
      <c r="AB786" s="96"/>
    </row>
    <row r="787" spans="2:28" s="99" customFormat="1" ht="15.75" customHeight="1" x14ac:dyDescent="0.25"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  <c r="AA787" s="96"/>
      <c r="AB787" s="96"/>
    </row>
    <row r="788" spans="2:28" s="99" customFormat="1" ht="15.75" customHeight="1" x14ac:dyDescent="0.25"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  <c r="AA788" s="96"/>
      <c r="AB788" s="96"/>
    </row>
    <row r="789" spans="2:28" s="99" customFormat="1" ht="15.75" customHeight="1" x14ac:dyDescent="0.25"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  <c r="AA789" s="96"/>
      <c r="AB789" s="96"/>
    </row>
    <row r="790" spans="2:28" s="99" customFormat="1" ht="15.75" customHeight="1" x14ac:dyDescent="0.25"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  <c r="AA790" s="96"/>
      <c r="AB790" s="96"/>
    </row>
    <row r="791" spans="2:28" s="99" customFormat="1" ht="15.75" customHeight="1" x14ac:dyDescent="0.25"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  <c r="AA791" s="96"/>
      <c r="AB791" s="96"/>
    </row>
    <row r="792" spans="2:28" s="99" customFormat="1" ht="15.75" customHeight="1" x14ac:dyDescent="0.25"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  <c r="AA792" s="96"/>
      <c r="AB792" s="96"/>
    </row>
    <row r="793" spans="2:28" s="99" customFormat="1" ht="15.75" customHeight="1" x14ac:dyDescent="0.25"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  <c r="AA793" s="96"/>
      <c r="AB793" s="96"/>
    </row>
    <row r="794" spans="2:28" s="99" customFormat="1" ht="15.75" customHeight="1" x14ac:dyDescent="0.25"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  <c r="AA794" s="96"/>
      <c r="AB794" s="96"/>
    </row>
    <row r="795" spans="2:28" s="99" customFormat="1" ht="15.75" customHeight="1" x14ac:dyDescent="0.25"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  <c r="AA795" s="96"/>
      <c r="AB795" s="96"/>
    </row>
    <row r="796" spans="2:28" s="99" customFormat="1" ht="15.75" customHeight="1" x14ac:dyDescent="0.25"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  <c r="AA796" s="96"/>
      <c r="AB796" s="96"/>
    </row>
    <row r="797" spans="2:28" s="99" customFormat="1" ht="15.75" customHeight="1" x14ac:dyDescent="0.25"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  <c r="AA797" s="96"/>
      <c r="AB797" s="96"/>
    </row>
    <row r="798" spans="2:28" s="99" customFormat="1" ht="15.75" customHeight="1" x14ac:dyDescent="0.25"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  <c r="AA798" s="96"/>
      <c r="AB798" s="96"/>
    </row>
    <row r="799" spans="2:28" s="99" customFormat="1" ht="15.75" customHeight="1" x14ac:dyDescent="0.25"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  <c r="AA799" s="96"/>
      <c r="AB799" s="96"/>
    </row>
    <row r="800" spans="2:28" s="99" customFormat="1" ht="15.75" customHeight="1" x14ac:dyDescent="0.25"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  <c r="AA800" s="96"/>
      <c r="AB800" s="96"/>
    </row>
    <row r="801" spans="2:28" s="99" customFormat="1" ht="15.75" customHeight="1" x14ac:dyDescent="0.25"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  <c r="AA801" s="96"/>
      <c r="AB801" s="96"/>
    </row>
    <row r="802" spans="2:28" s="99" customFormat="1" ht="15.75" customHeight="1" x14ac:dyDescent="0.25"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  <c r="AA802" s="96"/>
      <c r="AB802" s="96"/>
    </row>
    <row r="803" spans="2:28" s="99" customFormat="1" ht="15.75" customHeight="1" x14ac:dyDescent="0.25"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  <c r="AA803" s="96"/>
      <c r="AB803" s="96"/>
    </row>
    <row r="804" spans="2:28" s="99" customFormat="1" ht="15.75" customHeight="1" x14ac:dyDescent="0.25"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  <c r="AA804" s="96"/>
      <c r="AB804" s="96"/>
    </row>
    <row r="805" spans="2:28" s="99" customFormat="1" ht="15.75" customHeight="1" x14ac:dyDescent="0.25"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  <c r="AA805" s="96"/>
      <c r="AB805" s="96"/>
    </row>
    <row r="806" spans="2:28" s="99" customFormat="1" ht="15.75" customHeight="1" x14ac:dyDescent="0.25"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  <c r="AA806" s="96"/>
      <c r="AB806" s="96"/>
    </row>
    <row r="807" spans="2:28" s="99" customFormat="1" ht="15.75" customHeight="1" x14ac:dyDescent="0.25"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  <c r="AA807" s="96"/>
      <c r="AB807" s="96"/>
    </row>
    <row r="808" spans="2:28" s="99" customFormat="1" ht="15.75" customHeight="1" x14ac:dyDescent="0.25"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  <c r="AA808" s="96"/>
      <c r="AB808" s="96"/>
    </row>
    <row r="809" spans="2:28" s="99" customFormat="1" ht="15.75" customHeight="1" x14ac:dyDescent="0.25"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  <c r="AA809" s="96"/>
      <c r="AB809" s="96"/>
    </row>
    <row r="810" spans="2:28" s="99" customFormat="1" ht="15.75" customHeight="1" x14ac:dyDescent="0.25"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  <c r="AA810" s="96"/>
      <c r="AB810" s="96"/>
    </row>
    <row r="811" spans="2:28" s="99" customFormat="1" ht="15.75" customHeight="1" x14ac:dyDescent="0.25"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  <c r="AA811" s="96"/>
      <c r="AB811" s="96"/>
    </row>
    <row r="812" spans="2:28" s="99" customFormat="1" ht="15.75" customHeight="1" x14ac:dyDescent="0.25"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  <c r="AA812" s="96"/>
      <c r="AB812" s="96"/>
    </row>
    <row r="813" spans="2:28" s="99" customFormat="1" ht="15.75" customHeight="1" x14ac:dyDescent="0.25"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  <c r="AA813" s="96"/>
      <c r="AB813" s="96"/>
    </row>
    <row r="814" spans="2:28" s="99" customFormat="1" ht="15.75" customHeight="1" x14ac:dyDescent="0.25"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  <c r="AA814" s="96"/>
      <c r="AB814" s="96"/>
    </row>
    <row r="815" spans="2:28" s="99" customFormat="1" ht="15.75" customHeight="1" x14ac:dyDescent="0.25"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  <c r="AA815" s="96"/>
      <c r="AB815" s="96"/>
    </row>
    <row r="816" spans="2:28" s="99" customFormat="1" ht="15.75" customHeight="1" x14ac:dyDescent="0.25"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  <c r="AA816" s="96"/>
      <c r="AB816" s="96"/>
    </row>
    <row r="817" spans="2:28" s="99" customFormat="1" ht="15.75" customHeight="1" x14ac:dyDescent="0.25"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  <c r="AA817" s="96"/>
      <c r="AB817" s="96"/>
    </row>
    <row r="818" spans="2:28" s="99" customFormat="1" ht="15.75" customHeight="1" x14ac:dyDescent="0.25"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  <c r="AA818" s="96"/>
      <c r="AB818" s="96"/>
    </row>
    <row r="819" spans="2:28" s="99" customFormat="1" ht="15.75" customHeight="1" x14ac:dyDescent="0.25"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  <c r="AA819" s="96"/>
      <c r="AB819" s="96"/>
    </row>
    <row r="820" spans="2:28" s="99" customFormat="1" ht="15.75" customHeight="1" x14ac:dyDescent="0.25"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  <c r="AA820" s="96"/>
      <c r="AB820" s="96"/>
    </row>
    <row r="821" spans="2:28" s="99" customFormat="1" ht="15.75" customHeight="1" x14ac:dyDescent="0.25"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  <c r="AA821" s="96"/>
      <c r="AB821" s="96"/>
    </row>
    <row r="822" spans="2:28" s="99" customFormat="1" ht="15.75" customHeight="1" x14ac:dyDescent="0.25"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  <c r="AA822" s="96"/>
      <c r="AB822" s="96"/>
    </row>
    <row r="823" spans="2:28" s="99" customFormat="1" ht="15.75" customHeight="1" x14ac:dyDescent="0.25"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  <c r="AA823" s="96"/>
      <c r="AB823" s="96"/>
    </row>
    <row r="824" spans="2:28" s="99" customFormat="1" ht="15.75" customHeight="1" x14ac:dyDescent="0.25"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  <c r="AA824" s="96"/>
      <c r="AB824" s="96"/>
    </row>
    <row r="825" spans="2:28" s="99" customFormat="1" ht="15.75" customHeight="1" x14ac:dyDescent="0.25"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  <c r="AA825" s="96"/>
      <c r="AB825" s="96"/>
    </row>
    <row r="826" spans="2:28" s="99" customFormat="1" ht="15.75" customHeight="1" x14ac:dyDescent="0.25"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  <c r="AA826" s="96"/>
      <c r="AB826" s="96"/>
    </row>
    <row r="827" spans="2:28" s="99" customFormat="1" ht="15.75" customHeight="1" x14ac:dyDescent="0.25"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  <c r="AA827" s="96"/>
      <c r="AB827" s="96"/>
    </row>
    <row r="828" spans="2:28" s="99" customFormat="1" ht="15.75" customHeight="1" x14ac:dyDescent="0.25"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  <c r="AA828" s="96"/>
      <c r="AB828" s="96"/>
    </row>
    <row r="829" spans="2:28" s="99" customFormat="1" ht="15.75" customHeight="1" x14ac:dyDescent="0.25"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  <c r="AA829" s="96"/>
      <c r="AB829" s="96"/>
    </row>
    <row r="830" spans="2:28" s="99" customFormat="1" ht="15.75" customHeight="1" x14ac:dyDescent="0.25"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  <c r="AA830" s="96"/>
      <c r="AB830" s="96"/>
    </row>
    <row r="831" spans="2:28" s="99" customFormat="1" ht="15.75" customHeight="1" x14ac:dyDescent="0.25"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  <c r="AA831" s="96"/>
      <c r="AB831" s="96"/>
    </row>
    <row r="832" spans="2:28" s="99" customFormat="1" ht="15.75" customHeight="1" x14ac:dyDescent="0.25"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  <c r="AA832" s="96"/>
      <c r="AB832" s="96"/>
    </row>
    <row r="833" spans="2:28" s="99" customFormat="1" ht="15.75" customHeight="1" x14ac:dyDescent="0.25"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  <c r="AA833" s="96"/>
      <c r="AB833" s="96"/>
    </row>
  </sheetData>
  <mergeCells count="9">
    <mergeCell ref="A1:J1"/>
    <mergeCell ref="A2:J2"/>
    <mergeCell ref="A3:J3"/>
    <mergeCell ref="A4:J4"/>
    <mergeCell ref="A5:A6"/>
    <mergeCell ref="B5:B6"/>
    <mergeCell ref="C5:C6"/>
    <mergeCell ref="D5:D6"/>
    <mergeCell ref="I5:I6"/>
  </mergeCells>
  <printOptions horizontalCentered="1"/>
  <pageMargins left="0.23622047244094491" right="0.23622047244094491" top="0.19685039370078741" bottom="0.19685039370078741" header="0.11811023622047245" footer="0.11811023622047245"/>
  <pageSetup paperSize="9" scale="76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21F9-B710-4B9F-8DFF-8D5E25B155E2}">
  <sheetPr>
    <pageSetUpPr fitToPage="1"/>
  </sheetPr>
  <dimension ref="A1:AB837"/>
  <sheetViews>
    <sheetView view="pageBreakPreview" zoomScale="60" zoomScaleNormal="85" workbookViewId="0">
      <selection activeCell="H12" sqref="H12"/>
    </sheetView>
  </sheetViews>
  <sheetFormatPr defaultColWidth="12.5703125" defaultRowHeight="15" customHeight="1" x14ac:dyDescent="0.25"/>
  <cols>
    <col min="1" max="1" width="7.7109375" style="99" customWidth="1"/>
    <col min="2" max="2" width="23.28515625" style="96" bestFit="1" customWidth="1"/>
    <col min="3" max="3" width="36.5703125" style="96" customWidth="1"/>
    <col min="4" max="4" width="15.85546875" style="96" hidden="1" customWidth="1"/>
    <col min="5" max="7" width="16.28515625" style="96" customWidth="1"/>
    <col min="8" max="8" width="18.85546875" style="96" customWidth="1"/>
    <col min="9" max="9" width="16.28515625" style="96" hidden="1" customWidth="1"/>
    <col min="10" max="10" width="13.5703125" style="96" hidden="1" customWidth="1"/>
    <col min="11" max="11" width="16.140625" style="96" hidden="1" customWidth="1"/>
    <col min="12" max="12" width="11.140625" style="96" hidden="1" customWidth="1"/>
    <col min="13" max="28" width="7.5703125" style="96" customWidth="1"/>
    <col min="29" max="16384" width="12.5703125" style="96"/>
  </cols>
  <sheetData>
    <row r="1" spans="1:10" ht="30" customHeight="1" thickBot="1" x14ac:dyDescent="0.3">
      <c r="A1" s="171" t="s">
        <v>0</v>
      </c>
      <c r="B1" s="172"/>
      <c r="C1" s="172"/>
      <c r="D1" s="172"/>
      <c r="E1" s="172"/>
      <c r="F1" s="172"/>
      <c r="G1" s="172"/>
      <c r="H1" s="172"/>
      <c r="I1" s="172"/>
      <c r="J1" s="173"/>
    </row>
    <row r="2" spans="1:10" ht="30" customHeight="1" thickBot="1" x14ac:dyDescent="0.3">
      <c r="A2" s="171" t="s">
        <v>1</v>
      </c>
      <c r="B2" s="172"/>
      <c r="C2" s="172"/>
      <c r="D2" s="172"/>
      <c r="E2" s="172"/>
      <c r="F2" s="172"/>
      <c r="G2" s="172"/>
      <c r="H2" s="172"/>
      <c r="I2" s="172"/>
      <c r="J2" s="173"/>
    </row>
    <row r="3" spans="1:10" ht="30" customHeight="1" thickBot="1" x14ac:dyDescent="0.3">
      <c r="A3" s="171" t="s">
        <v>66</v>
      </c>
      <c r="B3" s="172"/>
      <c r="C3" s="172"/>
      <c r="D3" s="172"/>
      <c r="E3" s="172"/>
      <c r="F3" s="172"/>
      <c r="G3" s="172"/>
      <c r="H3" s="172"/>
      <c r="I3" s="172"/>
      <c r="J3" s="173"/>
    </row>
    <row r="4" spans="1:10" ht="30" customHeight="1" x14ac:dyDescent="0.25">
      <c r="A4" s="174" t="s">
        <v>624</v>
      </c>
      <c r="B4" s="175"/>
      <c r="C4" s="175"/>
      <c r="D4" s="175"/>
      <c r="E4" s="175"/>
      <c r="F4" s="175"/>
      <c r="G4" s="175"/>
      <c r="H4" s="175"/>
      <c r="I4" s="175"/>
      <c r="J4" s="176"/>
    </row>
    <row r="5" spans="1:10" ht="24.95" customHeight="1" x14ac:dyDescent="0.25">
      <c r="A5" s="181" t="s">
        <v>2</v>
      </c>
      <c r="B5" s="183" t="s">
        <v>3</v>
      </c>
      <c r="C5" s="183" t="s">
        <v>4</v>
      </c>
      <c r="D5" s="183" t="s">
        <v>5</v>
      </c>
      <c r="E5" s="64">
        <v>46118</v>
      </c>
      <c r="F5" s="64">
        <v>46118</v>
      </c>
      <c r="G5" s="64">
        <v>46119</v>
      </c>
      <c r="H5" s="64">
        <v>46119</v>
      </c>
      <c r="I5" s="185"/>
      <c r="J5" s="64">
        <v>46120</v>
      </c>
    </row>
    <row r="6" spans="1:10" ht="78.75" customHeight="1" x14ac:dyDescent="0.25">
      <c r="A6" s="182"/>
      <c r="B6" s="184"/>
      <c r="C6" s="184"/>
      <c r="D6" s="184"/>
      <c r="E6" s="97" t="s">
        <v>61</v>
      </c>
      <c r="F6" s="100" t="s">
        <v>62</v>
      </c>
      <c r="G6" s="100" t="s">
        <v>63</v>
      </c>
      <c r="H6" s="100" t="s">
        <v>64</v>
      </c>
      <c r="I6" s="186"/>
      <c r="J6" s="66" t="s">
        <v>71</v>
      </c>
    </row>
    <row r="7" spans="1:10" ht="24.95" customHeight="1" x14ac:dyDescent="0.25">
      <c r="A7" s="101">
        <v>1</v>
      </c>
      <c r="B7" s="108" t="s">
        <v>451</v>
      </c>
      <c r="C7" s="109" t="s">
        <v>452</v>
      </c>
      <c r="D7" s="104">
        <v>38.961038961038966</v>
      </c>
      <c r="E7" s="105"/>
      <c r="F7" s="105"/>
      <c r="G7" s="105"/>
      <c r="H7" s="105"/>
      <c r="I7" s="105"/>
    </row>
    <row r="8" spans="1:10" ht="24.95" customHeight="1" x14ac:dyDescent="0.25">
      <c r="A8" s="101">
        <v>2</v>
      </c>
      <c r="B8" s="108" t="s">
        <v>473</v>
      </c>
      <c r="C8" s="109" t="s">
        <v>474</v>
      </c>
      <c r="D8" s="104">
        <v>19.047619047619047</v>
      </c>
      <c r="E8" s="105"/>
      <c r="F8" s="105"/>
      <c r="G8" s="105"/>
      <c r="H8" s="105"/>
      <c r="I8" s="105"/>
    </row>
    <row r="9" spans="1:10" ht="24.95" customHeight="1" x14ac:dyDescent="0.25">
      <c r="A9" s="101">
        <v>3</v>
      </c>
      <c r="B9" s="108" t="s">
        <v>453</v>
      </c>
      <c r="C9" s="109" t="s">
        <v>454</v>
      </c>
      <c r="D9" s="104">
        <v>38.311688311688314</v>
      </c>
      <c r="E9" s="105"/>
      <c r="F9" s="105"/>
      <c r="G9" s="105"/>
      <c r="H9" s="105"/>
      <c r="I9" s="105"/>
    </row>
    <row r="10" spans="1:10" ht="24.95" customHeight="1" x14ac:dyDescent="0.25">
      <c r="A10" s="101">
        <v>4</v>
      </c>
      <c r="B10" s="108" t="s">
        <v>439</v>
      </c>
      <c r="C10" s="109" t="s">
        <v>440</v>
      </c>
      <c r="D10" s="104">
        <v>56.081081081081088</v>
      </c>
      <c r="E10" s="105"/>
      <c r="F10" s="105"/>
      <c r="G10" s="105"/>
      <c r="H10" s="105"/>
      <c r="I10" s="105"/>
    </row>
    <row r="11" spans="1:10" ht="24.95" customHeight="1" x14ac:dyDescent="0.25">
      <c r="A11" s="101">
        <v>5</v>
      </c>
      <c r="B11" s="108" t="s">
        <v>486</v>
      </c>
      <c r="C11" s="109" t="s">
        <v>487</v>
      </c>
      <c r="D11" s="104">
        <v>12.987012987012985</v>
      </c>
      <c r="E11" s="105"/>
      <c r="F11" s="105"/>
      <c r="G11" s="105"/>
      <c r="H11" s="105"/>
      <c r="I11" s="105"/>
    </row>
    <row r="12" spans="1:10" ht="24.95" customHeight="1" x14ac:dyDescent="0.25">
      <c r="A12" s="101">
        <v>6</v>
      </c>
      <c r="B12" s="108" t="s">
        <v>441</v>
      </c>
      <c r="C12" s="109" t="s">
        <v>442</v>
      </c>
      <c r="D12" s="104">
        <v>55.39568345323741</v>
      </c>
      <c r="E12" s="105"/>
      <c r="F12" s="105"/>
      <c r="G12" s="105"/>
      <c r="H12" s="105"/>
      <c r="I12" s="105"/>
    </row>
    <row r="13" spans="1:10" ht="24.95" customHeight="1" x14ac:dyDescent="0.25">
      <c r="A13" s="101">
        <v>7</v>
      </c>
      <c r="B13" s="108" t="s">
        <v>449</v>
      </c>
      <c r="C13" s="109" t="s">
        <v>450</v>
      </c>
      <c r="D13" s="104">
        <v>42.207792207792203</v>
      </c>
      <c r="E13" s="105"/>
      <c r="F13" s="105"/>
      <c r="G13" s="105"/>
      <c r="H13" s="105"/>
      <c r="I13" s="105"/>
    </row>
    <row r="14" spans="1:10" ht="24.95" customHeight="1" x14ac:dyDescent="0.25">
      <c r="A14" s="101">
        <v>8</v>
      </c>
      <c r="B14" s="108" t="s">
        <v>463</v>
      </c>
      <c r="C14" s="109" t="s">
        <v>464</v>
      </c>
      <c r="D14" s="104">
        <v>25.97402597402597</v>
      </c>
      <c r="E14" s="105"/>
      <c r="F14" s="105"/>
      <c r="G14" s="105"/>
      <c r="H14" s="105"/>
      <c r="I14" s="105"/>
    </row>
    <row r="15" spans="1:10" ht="24.95" customHeight="1" x14ac:dyDescent="0.25">
      <c r="A15" s="101">
        <v>9</v>
      </c>
      <c r="B15" s="108" t="s">
        <v>459</v>
      </c>
      <c r="C15" s="109" t="s">
        <v>460</v>
      </c>
      <c r="D15" s="104">
        <v>33.116883116883116</v>
      </c>
      <c r="E15" s="105"/>
      <c r="F15" s="105"/>
      <c r="G15" s="105"/>
      <c r="H15" s="105"/>
      <c r="I15" s="105"/>
    </row>
    <row r="16" spans="1:10" ht="24.95" customHeight="1" x14ac:dyDescent="0.25">
      <c r="A16" s="101">
        <v>10</v>
      </c>
      <c r="B16" s="108" t="s">
        <v>500</v>
      </c>
      <c r="C16" s="109" t="s">
        <v>501</v>
      </c>
      <c r="D16" s="104">
        <v>0.64935064935064934</v>
      </c>
      <c r="E16" s="105"/>
      <c r="F16" s="105"/>
      <c r="G16" s="105"/>
      <c r="H16" s="105"/>
      <c r="I16" s="105"/>
    </row>
    <row r="17" spans="1:9" ht="24.95" customHeight="1" x14ac:dyDescent="0.25">
      <c r="A17" s="101">
        <v>11</v>
      </c>
      <c r="B17" s="108" t="s">
        <v>469</v>
      </c>
      <c r="C17" s="109" t="s">
        <v>470</v>
      </c>
      <c r="D17" s="104">
        <v>23.376623376623375</v>
      </c>
      <c r="E17" s="105"/>
      <c r="F17" s="105"/>
      <c r="G17" s="105"/>
      <c r="H17" s="105"/>
      <c r="I17" s="105"/>
    </row>
    <row r="18" spans="1:9" ht="24.95" customHeight="1" x14ac:dyDescent="0.25">
      <c r="A18" s="101">
        <v>12</v>
      </c>
      <c r="B18" s="108" t="s">
        <v>477</v>
      </c>
      <c r="C18" s="109" t="s">
        <v>478</v>
      </c>
      <c r="D18" s="104">
        <v>15.584415584415584</v>
      </c>
      <c r="E18" s="105"/>
      <c r="F18" s="105"/>
      <c r="G18" s="105"/>
      <c r="H18" s="105"/>
      <c r="I18" s="105"/>
    </row>
    <row r="19" spans="1:9" ht="24.95" customHeight="1" x14ac:dyDescent="0.25">
      <c r="A19" s="101">
        <v>13</v>
      </c>
      <c r="B19" s="108" t="s">
        <v>465</v>
      </c>
      <c r="C19" s="109" t="s">
        <v>466</v>
      </c>
      <c r="D19" s="104">
        <v>24.675324675324674</v>
      </c>
      <c r="E19" s="105"/>
      <c r="F19" s="105"/>
      <c r="G19" s="105"/>
      <c r="H19" s="105"/>
      <c r="I19" s="105"/>
    </row>
    <row r="20" spans="1:9" ht="24.95" customHeight="1" x14ac:dyDescent="0.25">
      <c r="A20" s="101">
        <v>14</v>
      </c>
      <c r="B20" s="108" t="s">
        <v>475</v>
      </c>
      <c r="C20" s="109" t="s">
        <v>476</v>
      </c>
      <c r="D20" s="104">
        <v>18.831168831168831</v>
      </c>
      <c r="E20" s="105"/>
      <c r="F20" s="105"/>
      <c r="G20" s="105"/>
      <c r="H20" s="105"/>
      <c r="I20" s="105"/>
    </row>
    <row r="21" spans="1:9" ht="24.95" customHeight="1" x14ac:dyDescent="0.25">
      <c r="A21" s="101">
        <v>15</v>
      </c>
      <c r="B21" s="108" t="s">
        <v>502</v>
      </c>
      <c r="C21" s="109" t="s">
        <v>503</v>
      </c>
      <c r="D21" s="104">
        <v>0.64935064935064934</v>
      </c>
      <c r="E21" s="105"/>
      <c r="F21" s="105"/>
      <c r="G21" s="105"/>
      <c r="H21" s="105"/>
      <c r="I21" s="105"/>
    </row>
    <row r="22" spans="1:9" ht="24.95" customHeight="1" x14ac:dyDescent="0.25">
      <c r="A22" s="101">
        <v>16</v>
      </c>
      <c r="B22" s="108" t="s">
        <v>455</v>
      </c>
      <c r="C22" s="109" t="s">
        <v>456</v>
      </c>
      <c r="D22" s="104">
        <v>35.810810810810814</v>
      </c>
      <c r="E22" s="105"/>
      <c r="F22" s="105"/>
      <c r="G22" s="105"/>
      <c r="H22" s="105"/>
      <c r="I22" s="105"/>
    </row>
    <row r="23" spans="1:9" ht="24.95" customHeight="1" x14ac:dyDescent="0.25">
      <c r="A23" s="101">
        <v>17</v>
      </c>
      <c r="B23" s="108" t="s">
        <v>490</v>
      </c>
      <c r="C23" s="109" t="s">
        <v>491</v>
      </c>
      <c r="D23" s="104">
        <v>6.7796610169491522</v>
      </c>
      <c r="E23" s="105"/>
      <c r="F23" s="105"/>
      <c r="G23" s="105"/>
      <c r="H23" s="105"/>
      <c r="I23" s="105"/>
    </row>
    <row r="24" spans="1:9" ht="24.95" customHeight="1" x14ac:dyDescent="0.25">
      <c r="A24" s="101">
        <v>18</v>
      </c>
      <c r="B24" s="108" t="s">
        <v>496</v>
      </c>
      <c r="C24" s="109" t="s">
        <v>497</v>
      </c>
      <c r="D24" s="104">
        <v>4.2553191489361701</v>
      </c>
      <c r="E24" s="105"/>
      <c r="F24" s="105"/>
      <c r="G24" s="105"/>
      <c r="H24" s="105"/>
      <c r="I24" s="105"/>
    </row>
    <row r="25" spans="1:9" ht="24.95" customHeight="1" x14ac:dyDescent="0.25">
      <c r="A25" s="101">
        <v>19</v>
      </c>
      <c r="B25" s="108" t="s">
        <v>492</v>
      </c>
      <c r="C25" s="109" t="s">
        <v>493</v>
      </c>
      <c r="D25" s="104">
        <v>5.8441558441558437</v>
      </c>
      <c r="E25" s="105"/>
      <c r="F25" s="105"/>
      <c r="G25" s="105"/>
      <c r="H25" s="105"/>
      <c r="I25" s="105"/>
    </row>
    <row r="26" spans="1:9" ht="24.95" customHeight="1" x14ac:dyDescent="0.25">
      <c r="A26" s="101">
        <v>20</v>
      </c>
      <c r="B26" s="108" t="s">
        <v>484</v>
      </c>
      <c r="C26" s="109" t="s">
        <v>485</v>
      </c>
      <c r="D26" s="104">
        <v>13.103448275862069</v>
      </c>
      <c r="E26" s="105"/>
      <c r="F26" s="105"/>
      <c r="G26" s="105"/>
      <c r="H26" s="105"/>
      <c r="I26" s="105"/>
    </row>
    <row r="27" spans="1:9" ht="24.95" customHeight="1" x14ac:dyDescent="0.25">
      <c r="A27" s="101">
        <v>21</v>
      </c>
      <c r="B27" s="108" t="s">
        <v>437</v>
      </c>
      <c r="C27" s="109" t="s">
        <v>438</v>
      </c>
      <c r="D27" s="104">
        <v>56.578947368421048</v>
      </c>
      <c r="E27" s="105"/>
      <c r="F27" s="105"/>
      <c r="G27" s="105"/>
      <c r="H27" s="105"/>
      <c r="I27" s="105"/>
    </row>
    <row r="28" spans="1:9" ht="24.95" customHeight="1" x14ac:dyDescent="0.25">
      <c r="A28" s="101">
        <v>22</v>
      </c>
      <c r="B28" s="108" t="s">
        <v>443</v>
      </c>
      <c r="C28" s="109" t="s">
        <v>444</v>
      </c>
      <c r="D28" s="104">
        <v>49.34210526315789</v>
      </c>
      <c r="E28" s="105"/>
      <c r="F28" s="105"/>
      <c r="G28" s="105"/>
      <c r="H28" s="105"/>
      <c r="I28" s="105"/>
    </row>
    <row r="29" spans="1:9" ht="24.95" customHeight="1" x14ac:dyDescent="0.25">
      <c r="A29" s="101">
        <v>23</v>
      </c>
      <c r="B29" s="108" t="s">
        <v>445</v>
      </c>
      <c r="C29" s="109" t="s">
        <v>446</v>
      </c>
      <c r="D29" s="104">
        <v>44.137931034482762</v>
      </c>
      <c r="E29" s="105"/>
      <c r="F29" s="105"/>
      <c r="G29" s="105"/>
      <c r="H29" s="105"/>
      <c r="I29" s="105"/>
    </row>
    <row r="30" spans="1:9" ht="24.95" customHeight="1" x14ac:dyDescent="0.25">
      <c r="A30" s="101">
        <v>24</v>
      </c>
      <c r="B30" s="108" t="s">
        <v>494</v>
      </c>
      <c r="C30" s="109" t="s">
        <v>495</v>
      </c>
      <c r="D30" s="104">
        <v>4.6052631578947363</v>
      </c>
      <c r="E30" s="105"/>
      <c r="F30" s="105"/>
      <c r="G30" s="105"/>
      <c r="H30" s="105"/>
      <c r="I30" s="105"/>
    </row>
    <row r="31" spans="1:9" ht="24.95" customHeight="1" x14ac:dyDescent="0.25">
      <c r="A31" s="101">
        <v>25</v>
      </c>
      <c r="B31" s="108" t="s">
        <v>447</v>
      </c>
      <c r="C31" s="109" t="s">
        <v>448</v>
      </c>
      <c r="D31" s="104">
        <v>42.763157894736842</v>
      </c>
      <c r="E31" s="105"/>
      <c r="F31" s="105"/>
      <c r="G31" s="105"/>
      <c r="H31" s="105"/>
      <c r="I31" s="105"/>
    </row>
    <row r="32" spans="1:9" ht="24.95" customHeight="1" x14ac:dyDescent="0.25">
      <c r="A32" s="101">
        <v>26</v>
      </c>
      <c r="B32" s="108" t="s">
        <v>479</v>
      </c>
      <c r="C32" s="109" t="s">
        <v>208</v>
      </c>
      <c r="D32" s="104">
        <v>15.131578947368421</v>
      </c>
      <c r="E32" s="105"/>
      <c r="F32" s="105"/>
      <c r="G32" s="105"/>
      <c r="H32" s="105"/>
      <c r="I32" s="105"/>
    </row>
    <row r="33" spans="1:9" ht="24.95" customHeight="1" x14ac:dyDescent="0.25">
      <c r="A33" s="101">
        <v>27</v>
      </c>
      <c r="B33" s="108" t="s">
        <v>467</v>
      </c>
      <c r="C33" s="109" t="s">
        <v>468</v>
      </c>
      <c r="D33" s="104">
        <v>24.342105263157894</v>
      </c>
      <c r="E33" s="105"/>
      <c r="F33" s="105"/>
      <c r="G33" s="105"/>
      <c r="H33" s="105"/>
      <c r="I33" s="105"/>
    </row>
    <row r="34" spans="1:9" ht="24.95" customHeight="1" x14ac:dyDescent="0.25">
      <c r="A34" s="101">
        <v>28</v>
      </c>
      <c r="B34" s="108" t="s">
        <v>461</v>
      </c>
      <c r="C34" s="109" t="s">
        <v>462</v>
      </c>
      <c r="D34" s="104">
        <v>32.236842105263158</v>
      </c>
      <c r="E34" s="105"/>
      <c r="F34" s="105"/>
      <c r="G34" s="105"/>
      <c r="H34" s="105"/>
      <c r="I34" s="105"/>
    </row>
    <row r="35" spans="1:9" ht="24.95" customHeight="1" x14ac:dyDescent="0.25">
      <c r="A35" s="101">
        <v>29</v>
      </c>
      <c r="B35" s="108" t="s">
        <v>480</v>
      </c>
      <c r="C35" s="109" t="s">
        <v>481</v>
      </c>
      <c r="D35" s="104">
        <v>14.383561643835616</v>
      </c>
      <c r="E35" s="105"/>
      <c r="F35" s="105"/>
      <c r="G35" s="105"/>
      <c r="H35" s="105"/>
      <c r="I35" s="105"/>
    </row>
    <row r="36" spans="1:9" ht="24.95" customHeight="1" x14ac:dyDescent="0.25">
      <c r="A36" s="101">
        <v>30</v>
      </c>
      <c r="B36" s="108" t="s">
        <v>504</v>
      </c>
      <c r="C36" s="109" t="s">
        <v>505</v>
      </c>
      <c r="D36" s="104">
        <v>0</v>
      </c>
      <c r="E36" s="105"/>
      <c r="F36" s="105"/>
      <c r="G36" s="105"/>
      <c r="H36" s="105"/>
      <c r="I36" s="105"/>
    </row>
    <row r="37" spans="1:9" ht="24.95" customHeight="1" x14ac:dyDescent="0.25">
      <c r="A37" s="101">
        <v>31</v>
      </c>
      <c r="B37" s="108" t="s">
        <v>457</v>
      </c>
      <c r="C37" s="109" t="s">
        <v>458</v>
      </c>
      <c r="D37" s="104">
        <v>34.482758620689658</v>
      </c>
      <c r="E37" s="105"/>
      <c r="F37" s="105"/>
      <c r="G37" s="105"/>
      <c r="H37" s="105"/>
      <c r="I37" s="105"/>
    </row>
    <row r="38" spans="1:9" ht="24.95" customHeight="1" x14ac:dyDescent="0.25">
      <c r="A38" s="101">
        <v>32</v>
      </c>
      <c r="B38" s="108" t="s">
        <v>435</v>
      </c>
      <c r="C38" s="109" t="s">
        <v>436</v>
      </c>
      <c r="D38" s="104">
        <v>57.894736842105267</v>
      </c>
      <c r="E38" s="105"/>
      <c r="F38" s="105"/>
      <c r="G38" s="105"/>
      <c r="H38" s="105"/>
      <c r="I38" s="105"/>
    </row>
    <row r="39" spans="1:9" ht="24.95" customHeight="1" x14ac:dyDescent="0.25">
      <c r="A39" s="101">
        <v>33</v>
      </c>
      <c r="B39" s="108" t="s">
        <v>482</v>
      </c>
      <c r="C39" s="109" t="s">
        <v>483</v>
      </c>
      <c r="D39" s="104"/>
      <c r="E39" s="105"/>
      <c r="F39" s="105"/>
      <c r="G39" s="105"/>
      <c r="H39" s="105"/>
      <c r="I39" s="105"/>
    </row>
    <row r="40" spans="1:9" ht="24.95" customHeight="1" x14ac:dyDescent="0.25">
      <c r="A40" s="101">
        <v>34</v>
      </c>
      <c r="B40" s="108" t="s">
        <v>498</v>
      </c>
      <c r="C40" s="109" t="s">
        <v>499</v>
      </c>
      <c r="D40" s="104"/>
      <c r="E40" s="105"/>
      <c r="F40" s="105"/>
      <c r="G40" s="105"/>
      <c r="H40" s="105"/>
      <c r="I40" s="105"/>
    </row>
    <row r="41" spans="1:9" ht="24.95" customHeight="1" x14ac:dyDescent="0.25">
      <c r="A41" s="101">
        <v>35</v>
      </c>
      <c r="B41" s="108" t="s">
        <v>471</v>
      </c>
      <c r="C41" s="109" t="s">
        <v>472</v>
      </c>
      <c r="D41" s="104"/>
      <c r="E41" s="105"/>
      <c r="F41" s="105"/>
      <c r="G41" s="105"/>
      <c r="H41" s="105"/>
      <c r="I41" s="105"/>
    </row>
    <row r="42" spans="1:9" ht="24.95" customHeight="1" x14ac:dyDescent="0.25">
      <c r="A42" s="101">
        <v>36</v>
      </c>
      <c r="B42" s="108" t="s">
        <v>488</v>
      </c>
      <c r="C42" s="109" t="s">
        <v>489</v>
      </c>
      <c r="D42" s="104"/>
      <c r="E42" s="105"/>
      <c r="F42" s="105"/>
      <c r="G42" s="105"/>
      <c r="H42" s="105"/>
      <c r="I42" s="105"/>
    </row>
    <row r="43" spans="1:9" ht="24.95" customHeight="1" x14ac:dyDescent="0.25">
      <c r="A43" s="96"/>
    </row>
    <row r="44" spans="1:9" ht="15.75" customHeight="1" x14ac:dyDescent="0.25">
      <c r="B44" s="98"/>
      <c r="C44" s="98"/>
      <c r="D44" s="98"/>
    </row>
    <row r="45" spans="1:9" ht="15.75" customHeight="1" x14ac:dyDescent="0.25">
      <c r="B45" s="98"/>
      <c r="C45" s="98"/>
      <c r="D45" s="98"/>
    </row>
    <row r="46" spans="1:9" ht="15.75" customHeight="1" x14ac:dyDescent="0.25">
      <c r="B46" s="98"/>
      <c r="C46" s="98"/>
      <c r="D46" s="98"/>
    </row>
    <row r="47" spans="1:9" ht="15.75" customHeight="1" x14ac:dyDescent="0.25">
      <c r="B47" s="98"/>
      <c r="C47" s="98"/>
      <c r="D47" s="98"/>
    </row>
    <row r="48" spans="1:9" ht="15.75" customHeight="1" x14ac:dyDescent="0.25">
      <c r="B48" s="98"/>
      <c r="C48" s="98"/>
      <c r="D48" s="98"/>
    </row>
    <row r="49" spans="2:4" ht="15.75" customHeight="1" x14ac:dyDescent="0.25">
      <c r="B49" s="98"/>
      <c r="C49" s="98"/>
      <c r="D49" s="98"/>
    </row>
    <row r="50" spans="2:4" ht="15.75" customHeight="1" x14ac:dyDescent="0.25">
      <c r="B50" s="98"/>
      <c r="C50" s="98"/>
      <c r="D50" s="98"/>
    </row>
    <row r="51" spans="2:4" ht="15.75" customHeight="1" x14ac:dyDescent="0.25">
      <c r="B51" s="98"/>
      <c r="C51" s="98"/>
      <c r="D51" s="98"/>
    </row>
    <row r="52" spans="2:4" ht="15.75" customHeight="1" x14ac:dyDescent="0.25">
      <c r="B52" s="98"/>
      <c r="C52" s="98"/>
      <c r="D52" s="98"/>
    </row>
    <row r="53" spans="2:4" ht="15.75" customHeight="1" x14ac:dyDescent="0.25">
      <c r="B53" s="98"/>
      <c r="C53" s="98"/>
      <c r="D53" s="98"/>
    </row>
    <row r="54" spans="2:4" ht="15.75" customHeight="1" x14ac:dyDescent="0.25">
      <c r="B54" s="98"/>
      <c r="C54" s="98"/>
      <c r="D54" s="98"/>
    </row>
    <row r="55" spans="2:4" ht="15.75" customHeight="1" x14ac:dyDescent="0.25">
      <c r="B55" s="98"/>
      <c r="C55" s="98"/>
      <c r="D55" s="98"/>
    </row>
    <row r="56" spans="2:4" ht="15.75" customHeight="1" x14ac:dyDescent="0.25">
      <c r="B56" s="98"/>
      <c r="C56" s="98"/>
      <c r="D56" s="98"/>
    </row>
    <row r="57" spans="2:4" ht="15.75" customHeight="1" x14ac:dyDescent="0.25">
      <c r="B57" s="98"/>
      <c r="C57" s="98"/>
      <c r="D57" s="98"/>
    </row>
    <row r="58" spans="2:4" ht="15.75" customHeight="1" x14ac:dyDescent="0.25">
      <c r="B58" s="98"/>
      <c r="C58" s="98"/>
      <c r="D58" s="98"/>
    </row>
    <row r="59" spans="2:4" ht="15.75" customHeight="1" x14ac:dyDescent="0.25">
      <c r="B59" s="98"/>
      <c r="C59" s="98"/>
      <c r="D59" s="98"/>
    </row>
    <row r="60" spans="2:4" ht="15.75" customHeight="1" x14ac:dyDescent="0.25">
      <c r="B60" s="98"/>
      <c r="C60" s="98"/>
      <c r="D60" s="98"/>
    </row>
    <row r="61" spans="2:4" ht="15.75" customHeight="1" x14ac:dyDescent="0.25">
      <c r="B61" s="98"/>
      <c r="C61" s="98"/>
      <c r="D61" s="98"/>
    </row>
    <row r="62" spans="2:4" ht="15.75" customHeight="1" x14ac:dyDescent="0.25">
      <c r="B62" s="98"/>
      <c r="C62" s="98"/>
      <c r="D62" s="98"/>
    </row>
    <row r="63" spans="2:4" ht="15.75" customHeight="1" x14ac:dyDescent="0.25">
      <c r="B63" s="98"/>
      <c r="C63" s="98"/>
      <c r="D63" s="98"/>
    </row>
    <row r="64" spans="2:4" ht="15.75" customHeight="1" x14ac:dyDescent="0.25">
      <c r="B64" s="98"/>
      <c r="C64" s="98"/>
      <c r="D64" s="98"/>
    </row>
    <row r="65" spans="2:4" ht="15.75" customHeight="1" x14ac:dyDescent="0.25">
      <c r="B65" s="98"/>
      <c r="C65" s="98"/>
      <c r="D65" s="98"/>
    </row>
    <row r="66" spans="2:4" ht="15.75" customHeight="1" x14ac:dyDescent="0.25">
      <c r="B66" s="98"/>
      <c r="C66" s="98"/>
      <c r="D66" s="98"/>
    </row>
    <row r="67" spans="2:4" ht="15.75" customHeight="1" x14ac:dyDescent="0.25">
      <c r="B67" s="98"/>
      <c r="C67" s="98"/>
      <c r="D67" s="98"/>
    </row>
    <row r="68" spans="2:4" ht="15.75" customHeight="1" x14ac:dyDescent="0.25">
      <c r="B68" s="98"/>
      <c r="C68" s="98"/>
      <c r="D68" s="98"/>
    </row>
    <row r="69" spans="2:4" ht="15.75" customHeight="1" x14ac:dyDescent="0.25">
      <c r="B69" s="98"/>
      <c r="C69" s="98"/>
      <c r="D69" s="98"/>
    </row>
    <row r="70" spans="2:4" ht="15.75" customHeight="1" x14ac:dyDescent="0.25">
      <c r="B70" s="98"/>
      <c r="C70" s="98"/>
      <c r="D70" s="98"/>
    </row>
    <row r="71" spans="2:4" ht="15.75" customHeight="1" x14ac:dyDescent="0.25">
      <c r="B71" s="98"/>
      <c r="C71" s="98"/>
      <c r="D71" s="98"/>
    </row>
    <row r="72" spans="2:4" ht="15.75" customHeight="1" x14ac:dyDescent="0.25">
      <c r="B72" s="98"/>
      <c r="C72" s="98"/>
      <c r="D72" s="98"/>
    </row>
    <row r="73" spans="2:4" ht="15.75" customHeight="1" x14ac:dyDescent="0.25">
      <c r="B73" s="98"/>
      <c r="C73" s="98"/>
      <c r="D73" s="98"/>
    </row>
    <row r="74" spans="2:4" ht="15.75" customHeight="1" x14ac:dyDescent="0.25">
      <c r="B74" s="98"/>
      <c r="C74" s="98"/>
      <c r="D74" s="98"/>
    </row>
    <row r="75" spans="2:4" ht="15.75" customHeight="1" x14ac:dyDescent="0.25">
      <c r="B75" s="98"/>
      <c r="C75" s="98"/>
      <c r="D75" s="98"/>
    </row>
    <row r="76" spans="2:4" ht="15.75" customHeight="1" x14ac:dyDescent="0.25">
      <c r="B76" s="98"/>
      <c r="C76" s="98"/>
      <c r="D76" s="98"/>
    </row>
    <row r="77" spans="2:4" ht="15.75" customHeight="1" x14ac:dyDescent="0.25">
      <c r="B77" s="98"/>
      <c r="C77" s="98"/>
      <c r="D77" s="98"/>
    </row>
    <row r="78" spans="2:4" ht="15.75" customHeight="1" x14ac:dyDescent="0.25">
      <c r="B78" s="98"/>
      <c r="C78" s="98"/>
      <c r="D78" s="98"/>
    </row>
    <row r="79" spans="2:4" ht="15.75" customHeight="1" x14ac:dyDescent="0.25">
      <c r="B79" s="98"/>
      <c r="C79" s="98"/>
      <c r="D79" s="98"/>
    </row>
    <row r="80" spans="2:4" ht="15.75" customHeight="1" x14ac:dyDescent="0.25">
      <c r="B80" s="98"/>
      <c r="C80" s="98"/>
      <c r="D80" s="98"/>
    </row>
    <row r="81" spans="2:4" ht="15.75" customHeight="1" x14ac:dyDescent="0.25">
      <c r="B81" s="98"/>
      <c r="C81" s="98"/>
      <c r="D81" s="98"/>
    </row>
    <row r="82" spans="2:4" ht="15.75" customHeight="1" x14ac:dyDescent="0.25">
      <c r="B82" s="98"/>
      <c r="C82" s="98"/>
      <c r="D82" s="98"/>
    </row>
    <row r="83" spans="2:4" ht="15.75" customHeight="1" x14ac:dyDescent="0.25">
      <c r="B83" s="98"/>
      <c r="C83" s="98"/>
      <c r="D83" s="98"/>
    </row>
    <row r="84" spans="2:4" ht="15.75" customHeight="1" x14ac:dyDescent="0.25">
      <c r="B84" s="98"/>
      <c r="C84" s="98"/>
      <c r="D84" s="98"/>
    </row>
    <row r="85" spans="2:4" ht="15.75" customHeight="1" x14ac:dyDescent="0.25">
      <c r="B85" s="98"/>
      <c r="C85" s="98"/>
      <c r="D85" s="98"/>
    </row>
    <row r="86" spans="2:4" ht="15.75" customHeight="1" x14ac:dyDescent="0.25">
      <c r="B86" s="98"/>
      <c r="C86" s="98"/>
      <c r="D86" s="98"/>
    </row>
    <row r="87" spans="2:4" ht="15.75" customHeight="1" x14ac:dyDescent="0.25">
      <c r="B87" s="98"/>
      <c r="C87" s="98"/>
      <c r="D87" s="98"/>
    </row>
    <row r="88" spans="2:4" ht="15.75" customHeight="1" x14ac:dyDescent="0.25">
      <c r="B88" s="98"/>
      <c r="C88" s="98"/>
      <c r="D88" s="98"/>
    </row>
    <row r="89" spans="2:4" ht="15.75" customHeight="1" x14ac:dyDescent="0.25">
      <c r="B89" s="98"/>
      <c r="C89" s="98"/>
      <c r="D89" s="98"/>
    </row>
    <row r="90" spans="2:4" ht="15.75" customHeight="1" x14ac:dyDescent="0.25">
      <c r="B90" s="98"/>
      <c r="C90" s="98"/>
      <c r="D90" s="98"/>
    </row>
    <row r="91" spans="2:4" ht="15.75" customHeight="1" x14ac:dyDescent="0.25">
      <c r="B91" s="98"/>
      <c r="C91" s="98"/>
      <c r="D91" s="98"/>
    </row>
    <row r="92" spans="2:4" ht="15.75" customHeight="1" x14ac:dyDescent="0.25">
      <c r="B92" s="98"/>
      <c r="C92" s="98"/>
      <c r="D92" s="98"/>
    </row>
    <row r="93" spans="2:4" ht="15.75" customHeight="1" x14ac:dyDescent="0.25">
      <c r="B93" s="98"/>
      <c r="C93" s="98"/>
      <c r="D93" s="98"/>
    </row>
    <row r="94" spans="2:4" ht="15.75" customHeight="1" x14ac:dyDescent="0.25">
      <c r="B94" s="98"/>
      <c r="C94" s="98"/>
      <c r="D94" s="98"/>
    </row>
    <row r="95" spans="2:4" ht="15.75" customHeight="1" x14ac:dyDescent="0.25">
      <c r="B95" s="98"/>
      <c r="C95" s="98"/>
      <c r="D95" s="98"/>
    </row>
    <row r="96" spans="2:4" ht="15.75" customHeight="1" x14ac:dyDescent="0.25"/>
    <row r="97" spans="2:28" ht="15.75" customHeight="1" x14ac:dyDescent="0.25"/>
    <row r="98" spans="2:28" ht="15.75" customHeight="1" x14ac:dyDescent="0.25"/>
    <row r="99" spans="2:28" ht="15.75" customHeight="1" x14ac:dyDescent="0.25"/>
    <row r="100" spans="2:28" ht="15.75" customHeight="1" x14ac:dyDescent="0.25"/>
    <row r="101" spans="2:28" ht="15.75" customHeight="1" x14ac:dyDescent="0.25"/>
    <row r="102" spans="2:28" ht="15.75" customHeight="1" x14ac:dyDescent="0.25"/>
    <row r="103" spans="2:28" ht="15.75" customHeight="1" x14ac:dyDescent="0.25"/>
    <row r="104" spans="2:28" ht="15.75" customHeight="1" x14ac:dyDescent="0.25"/>
    <row r="105" spans="2:28" ht="15.75" customHeight="1" x14ac:dyDescent="0.25"/>
    <row r="106" spans="2:28" s="99" customFormat="1" ht="15.75" customHeight="1" x14ac:dyDescent="0.2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</row>
    <row r="107" spans="2:28" s="99" customFormat="1" ht="15.75" customHeight="1" x14ac:dyDescent="0.2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</row>
    <row r="108" spans="2:28" s="99" customFormat="1" ht="15.75" customHeight="1" x14ac:dyDescent="0.2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</row>
    <row r="109" spans="2:28" s="99" customFormat="1" ht="15.75" customHeight="1" x14ac:dyDescent="0.2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</row>
    <row r="110" spans="2:28" s="99" customFormat="1" ht="15.75" customHeight="1" x14ac:dyDescent="0.25"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</row>
    <row r="111" spans="2:28" s="99" customFormat="1" ht="15.75" customHeight="1" x14ac:dyDescent="0.25"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</row>
    <row r="112" spans="2:28" s="99" customFormat="1" ht="15.75" customHeight="1" x14ac:dyDescent="0.25"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</row>
    <row r="113" spans="2:28" s="99" customFormat="1" ht="15.75" customHeight="1" x14ac:dyDescent="0.25"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</row>
    <row r="114" spans="2:28" s="99" customFormat="1" ht="15.75" customHeight="1" x14ac:dyDescent="0.25"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</row>
    <row r="115" spans="2:28" s="99" customFormat="1" ht="15.75" customHeight="1" x14ac:dyDescent="0.25"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</row>
    <row r="116" spans="2:28" s="99" customFormat="1" ht="15.75" customHeight="1" x14ac:dyDescent="0.25"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</row>
    <row r="117" spans="2:28" s="99" customFormat="1" ht="15.75" customHeight="1" x14ac:dyDescent="0.25"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</row>
    <row r="118" spans="2:28" s="99" customFormat="1" ht="15.75" customHeight="1" x14ac:dyDescent="0.25"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</row>
    <row r="119" spans="2:28" s="99" customFormat="1" ht="15.75" customHeight="1" x14ac:dyDescent="0.25"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</row>
    <row r="120" spans="2:28" s="99" customFormat="1" ht="15.75" customHeight="1" x14ac:dyDescent="0.25"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</row>
    <row r="121" spans="2:28" s="99" customFormat="1" ht="15.75" customHeight="1" x14ac:dyDescent="0.25"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</row>
    <row r="122" spans="2:28" s="99" customFormat="1" ht="15.75" customHeight="1" x14ac:dyDescent="0.25"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</row>
    <row r="123" spans="2:28" s="99" customFormat="1" ht="15.75" customHeight="1" x14ac:dyDescent="0.25"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</row>
    <row r="124" spans="2:28" s="99" customFormat="1" ht="15.75" customHeight="1" x14ac:dyDescent="0.25"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</row>
    <row r="125" spans="2:28" s="99" customFormat="1" ht="15.75" customHeight="1" x14ac:dyDescent="0.25"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</row>
    <row r="126" spans="2:28" s="99" customFormat="1" ht="15.75" customHeight="1" x14ac:dyDescent="0.25"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</row>
    <row r="127" spans="2:28" s="99" customFormat="1" ht="15.75" customHeight="1" x14ac:dyDescent="0.25"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</row>
    <row r="128" spans="2:28" s="99" customFormat="1" ht="15.75" customHeight="1" x14ac:dyDescent="0.25"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</row>
    <row r="129" spans="2:28" s="99" customFormat="1" ht="15.75" customHeight="1" x14ac:dyDescent="0.25"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</row>
    <row r="130" spans="2:28" s="99" customFormat="1" ht="15.75" customHeight="1" x14ac:dyDescent="0.25"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</row>
    <row r="131" spans="2:28" s="99" customFormat="1" ht="15.75" customHeight="1" x14ac:dyDescent="0.25"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</row>
    <row r="132" spans="2:28" s="99" customFormat="1" ht="15.75" customHeight="1" x14ac:dyDescent="0.25"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</row>
    <row r="133" spans="2:28" s="99" customFormat="1" ht="15.75" customHeight="1" x14ac:dyDescent="0.25"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</row>
    <row r="134" spans="2:28" s="99" customFormat="1" ht="15.75" customHeight="1" x14ac:dyDescent="0.25"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</row>
    <row r="135" spans="2:28" s="99" customFormat="1" ht="15.75" customHeight="1" x14ac:dyDescent="0.25"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</row>
    <row r="136" spans="2:28" s="99" customFormat="1" ht="15.75" customHeight="1" x14ac:dyDescent="0.25"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</row>
    <row r="137" spans="2:28" s="99" customFormat="1" ht="15.75" customHeight="1" x14ac:dyDescent="0.25"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</row>
    <row r="138" spans="2:28" s="99" customFormat="1" ht="15.75" customHeight="1" x14ac:dyDescent="0.25"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</row>
    <row r="139" spans="2:28" s="99" customFormat="1" ht="15.75" customHeight="1" x14ac:dyDescent="0.25"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</row>
    <row r="140" spans="2:28" s="99" customFormat="1" ht="15.75" customHeight="1" x14ac:dyDescent="0.25"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</row>
    <row r="141" spans="2:28" s="99" customFormat="1" ht="15.75" customHeight="1" x14ac:dyDescent="0.25"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</row>
    <row r="142" spans="2:28" s="99" customFormat="1" ht="15.75" customHeight="1" x14ac:dyDescent="0.25"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</row>
    <row r="143" spans="2:28" s="99" customFormat="1" ht="15.75" customHeight="1" x14ac:dyDescent="0.25"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</row>
    <row r="144" spans="2:28" s="99" customFormat="1" ht="15.75" customHeight="1" x14ac:dyDescent="0.25"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</row>
    <row r="145" spans="2:28" s="99" customFormat="1" ht="15.75" customHeight="1" x14ac:dyDescent="0.25"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</row>
    <row r="146" spans="2:28" s="99" customFormat="1" ht="15.75" customHeight="1" x14ac:dyDescent="0.25"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</row>
    <row r="147" spans="2:28" s="99" customFormat="1" ht="15.75" customHeight="1" x14ac:dyDescent="0.25"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</row>
    <row r="148" spans="2:28" s="99" customFormat="1" ht="15.75" customHeight="1" x14ac:dyDescent="0.25"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</row>
    <row r="149" spans="2:28" s="99" customFormat="1" ht="15.75" customHeight="1" x14ac:dyDescent="0.25"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</row>
    <row r="150" spans="2:28" s="99" customFormat="1" ht="15.75" customHeight="1" x14ac:dyDescent="0.25"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</row>
    <row r="151" spans="2:28" s="99" customFormat="1" ht="15.75" customHeight="1" x14ac:dyDescent="0.25"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</row>
    <row r="152" spans="2:28" s="99" customFormat="1" ht="15.75" customHeight="1" x14ac:dyDescent="0.25"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</row>
    <row r="153" spans="2:28" s="99" customFormat="1" ht="15.75" customHeight="1" x14ac:dyDescent="0.25"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</row>
    <row r="154" spans="2:28" s="99" customFormat="1" ht="15.75" customHeight="1" x14ac:dyDescent="0.25"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</row>
    <row r="155" spans="2:28" s="99" customFormat="1" ht="15.75" customHeight="1" x14ac:dyDescent="0.25"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</row>
    <row r="156" spans="2:28" s="99" customFormat="1" ht="15.75" customHeight="1" x14ac:dyDescent="0.25"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</row>
    <row r="157" spans="2:28" s="99" customFormat="1" ht="15.75" customHeight="1" x14ac:dyDescent="0.25"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</row>
    <row r="158" spans="2:28" s="99" customFormat="1" ht="15.75" customHeight="1" x14ac:dyDescent="0.25"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</row>
    <row r="159" spans="2:28" s="99" customFormat="1" ht="15.75" customHeight="1" x14ac:dyDescent="0.25"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</row>
    <row r="160" spans="2:28" s="99" customFormat="1" ht="15.75" customHeight="1" x14ac:dyDescent="0.25"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</row>
    <row r="161" spans="2:28" s="99" customFormat="1" ht="15.75" customHeight="1" x14ac:dyDescent="0.25"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</row>
    <row r="162" spans="2:28" s="99" customFormat="1" ht="15.75" customHeight="1" x14ac:dyDescent="0.25"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</row>
    <row r="163" spans="2:28" s="99" customFormat="1" ht="15.75" customHeight="1" x14ac:dyDescent="0.25"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</row>
    <row r="164" spans="2:28" s="99" customFormat="1" ht="15.75" customHeight="1" x14ac:dyDescent="0.25"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</row>
    <row r="165" spans="2:28" s="99" customFormat="1" ht="15.75" customHeight="1" x14ac:dyDescent="0.25"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</row>
    <row r="166" spans="2:28" s="99" customFormat="1" ht="15.75" customHeight="1" x14ac:dyDescent="0.25"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</row>
    <row r="167" spans="2:28" s="99" customFormat="1" ht="15.75" customHeight="1" x14ac:dyDescent="0.25"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</row>
    <row r="168" spans="2:28" s="99" customFormat="1" ht="15.75" customHeight="1" x14ac:dyDescent="0.25"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</row>
    <row r="169" spans="2:28" s="99" customFormat="1" ht="15.75" customHeight="1" x14ac:dyDescent="0.25"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</row>
    <row r="170" spans="2:28" s="99" customFormat="1" ht="15.75" customHeight="1" x14ac:dyDescent="0.25"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</row>
    <row r="171" spans="2:28" s="99" customFormat="1" ht="15.75" customHeight="1" x14ac:dyDescent="0.25"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</row>
    <row r="172" spans="2:28" s="99" customFormat="1" ht="15.75" customHeight="1" x14ac:dyDescent="0.25"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</row>
    <row r="173" spans="2:28" s="99" customFormat="1" ht="15.75" customHeight="1" x14ac:dyDescent="0.25"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</row>
    <row r="174" spans="2:28" s="99" customFormat="1" ht="15.75" customHeight="1" x14ac:dyDescent="0.25"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</row>
    <row r="175" spans="2:28" s="99" customFormat="1" ht="15.75" customHeight="1" x14ac:dyDescent="0.25"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</row>
    <row r="176" spans="2:28" s="99" customFormat="1" ht="15.75" customHeight="1" x14ac:dyDescent="0.25"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</row>
    <row r="177" spans="2:28" s="99" customFormat="1" ht="15.75" customHeight="1" x14ac:dyDescent="0.25"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</row>
    <row r="178" spans="2:28" s="99" customFormat="1" ht="15.75" customHeight="1" x14ac:dyDescent="0.25"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</row>
    <row r="179" spans="2:28" s="99" customFormat="1" ht="15.75" customHeight="1" x14ac:dyDescent="0.25"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</row>
    <row r="180" spans="2:28" s="99" customFormat="1" ht="15.75" customHeight="1" x14ac:dyDescent="0.25"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</row>
    <row r="181" spans="2:28" s="99" customFormat="1" ht="15.75" customHeight="1" x14ac:dyDescent="0.25"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</row>
    <row r="182" spans="2:28" s="99" customFormat="1" ht="15.75" customHeight="1" x14ac:dyDescent="0.25"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</row>
    <row r="183" spans="2:28" s="99" customFormat="1" ht="15.75" customHeight="1" x14ac:dyDescent="0.25"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</row>
    <row r="184" spans="2:28" s="99" customFormat="1" ht="15.75" customHeight="1" x14ac:dyDescent="0.25"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</row>
    <row r="185" spans="2:28" s="99" customFormat="1" ht="15.75" customHeight="1" x14ac:dyDescent="0.25"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</row>
    <row r="186" spans="2:28" s="99" customFormat="1" ht="15.75" customHeight="1" x14ac:dyDescent="0.25"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</row>
    <row r="187" spans="2:28" s="99" customFormat="1" ht="15.75" customHeight="1" x14ac:dyDescent="0.25"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</row>
    <row r="188" spans="2:28" s="99" customFormat="1" ht="15.75" customHeight="1" x14ac:dyDescent="0.25"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</row>
    <row r="189" spans="2:28" s="99" customFormat="1" ht="15.75" customHeight="1" x14ac:dyDescent="0.25"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</row>
    <row r="190" spans="2:28" s="99" customFormat="1" ht="15.75" customHeight="1" x14ac:dyDescent="0.25"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</row>
    <row r="191" spans="2:28" s="99" customFormat="1" ht="15.75" customHeight="1" x14ac:dyDescent="0.25"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</row>
    <row r="192" spans="2:28" s="99" customFormat="1" ht="15.75" customHeight="1" x14ac:dyDescent="0.25"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</row>
    <row r="193" spans="2:28" s="99" customFormat="1" ht="15.75" customHeight="1" x14ac:dyDescent="0.25"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</row>
    <row r="194" spans="2:28" s="99" customFormat="1" ht="15.75" customHeight="1" x14ac:dyDescent="0.25"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</row>
    <row r="195" spans="2:28" s="99" customFormat="1" ht="15.75" customHeight="1" x14ac:dyDescent="0.25"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</row>
    <row r="196" spans="2:28" s="99" customFormat="1" ht="15.75" customHeight="1" x14ac:dyDescent="0.25"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</row>
    <row r="197" spans="2:28" s="99" customFormat="1" ht="15.75" customHeight="1" x14ac:dyDescent="0.25"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</row>
    <row r="198" spans="2:28" s="99" customFormat="1" ht="15.75" customHeight="1" x14ac:dyDescent="0.25"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</row>
    <row r="199" spans="2:28" s="99" customFormat="1" ht="15.75" customHeight="1" x14ac:dyDescent="0.25"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</row>
    <row r="200" spans="2:28" s="99" customFormat="1" ht="15.75" customHeight="1" x14ac:dyDescent="0.25"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</row>
    <row r="201" spans="2:28" s="99" customFormat="1" ht="15.75" customHeight="1" x14ac:dyDescent="0.25"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</row>
    <row r="202" spans="2:28" s="99" customFormat="1" ht="15.75" customHeight="1" x14ac:dyDescent="0.25"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</row>
    <row r="203" spans="2:28" s="99" customFormat="1" ht="15.75" customHeight="1" x14ac:dyDescent="0.25"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</row>
    <row r="204" spans="2:28" s="99" customFormat="1" ht="15.75" customHeight="1" x14ac:dyDescent="0.25"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</row>
    <row r="205" spans="2:28" s="99" customFormat="1" ht="15.75" customHeight="1" x14ac:dyDescent="0.25"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</row>
    <row r="206" spans="2:28" s="99" customFormat="1" ht="15.75" customHeight="1" x14ac:dyDescent="0.25"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</row>
    <row r="207" spans="2:28" s="99" customFormat="1" ht="15.75" customHeight="1" x14ac:dyDescent="0.25"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</row>
    <row r="208" spans="2:28" s="99" customFormat="1" ht="15.75" customHeight="1" x14ac:dyDescent="0.25"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</row>
    <row r="209" spans="2:28" s="99" customFormat="1" ht="15.75" customHeight="1" x14ac:dyDescent="0.25"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</row>
    <row r="210" spans="2:28" s="99" customFormat="1" ht="15.75" customHeight="1" x14ac:dyDescent="0.25"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</row>
    <row r="211" spans="2:28" s="99" customFormat="1" ht="15.75" customHeight="1" x14ac:dyDescent="0.25"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</row>
    <row r="212" spans="2:28" s="99" customFormat="1" ht="15.75" customHeight="1" x14ac:dyDescent="0.25"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</row>
    <row r="213" spans="2:28" s="99" customFormat="1" ht="15.75" customHeight="1" x14ac:dyDescent="0.25"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</row>
    <row r="214" spans="2:28" s="99" customFormat="1" ht="15.75" customHeight="1" x14ac:dyDescent="0.25"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</row>
    <row r="215" spans="2:28" s="99" customFormat="1" ht="15.75" customHeight="1" x14ac:dyDescent="0.25"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</row>
    <row r="216" spans="2:28" s="99" customFormat="1" ht="15.75" customHeight="1" x14ac:dyDescent="0.25"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</row>
    <row r="217" spans="2:28" s="99" customFormat="1" ht="15.75" customHeight="1" x14ac:dyDescent="0.25"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</row>
    <row r="218" spans="2:28" s="99" customFormat="1" ht="15.75" customHeight="1" x14ac:dyDescent="0.25"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</row>
    <row r="219" spans="2:28" s="99" customFormat="1" ht="15.75" customHeight="1" x14ac:dyDescent="0.25"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</row>
    <row r="220" spans="2:28" s="99" customFormat="1" ht="15.75" customHeight="1" x14ac:dyDescent="0.25"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</row>
    <row r="221" spans="2:28" s="99" customFormat="1" ht="15.75" customHeight="1" x14ac:dyDescent="0.25"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</row>
    <row r="222" spans="2:28" s="99" customFormat="1" ht="15.75" customHeight="1" x14ac:dyDescent="0.25"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</row>
    <row r="223" spans="2:28" s="99" customFormat="1" ht="15.75" customHeight="1" x14ac:dyDescent="0.25"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</row>
    <row r="224" spans="2:28" s="99" customFormat="1" ht="15.75" customHeight="1" x14ac:dyDescent="0.25"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</row>
    <row r="225" spans="2:28" s="99" customFormat="1" ht="15.75" customHeight="1" x14ac:dyDescent="0.25"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</row>
    <row r="226" spans="2:28" s="99" customFormat="1" ht="15.75" customHeight="1" x14ac:dyDescent="0.25"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</row>
    <row r="227" spans="2:28" s="99" customFormat="1" ht="15.75" customHeight="1" x14ac:dyDescent="0.25"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</row>
    <row r="228" spans="2:28" s="99" customFormat="1" ht="15.75" customHeight="1" x14ac:dyDescent="0.25"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</row>
    <row r="229" spans="2:28" s="99" customFormat="1" ht="15.75" customHeight="1" x14ac:dyDescent="0.25"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</row>
    <row r="230" spans="2:28" s="99" customFormat="1" ht="15.75" customHeight="1" x14ac:dyDescent="0.25"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</row>
    <row r="231" spans="2:28" s="99" customFormat="1" ht="15.75" customHeight="1" x14ac:dyDescent="0.25"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</row>
    <row r="232" spans="2:28" s="99" customFormat="1" ht="15.75" customHeight="1" x14ac:dyDescent="0.25"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</row>
    <row r="233" spans="2:28" s="99" customFormat="1" ht="15.75" customHeight="1" x14ac:dyDescent="0.25"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</row>
    <row r="234" spans="2:28" s="99" customFormat="1" ht="15.75" customHeight="1" x14ac:dyDescent="0.25"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</row>
    <row r="235" spans="2:28" s="99" customFormat="1" ht="15.75" customHeight="1" x14ac:dyDescent="0.25"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</row>
    <row r="236" spans="2:28" s="99" customFormat="1" ht="15.75" customHeight="1" x14ac:dyDescent="0.25"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</row>
    <row r="237" spans="2:28" s="99" customFormat="1" ht="15.75" customHeight="1" x14ac:dyDescent="0.25"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</row>
    <row r="238" spans="2:28" s="99" customFormat="1" ht="15.75" customHeight="1" x14ac:dyDescent="0.25"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</row>
    <row r="239" spans="2:28" s="99" customFormat="1" ht="15.75" customHeight="1" x14ac:dyDescent="0.25"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</row>
    <row r="240" spans="2:28" s="99" customFormat="1" ht="15.75" customHeight="1" x14ac:dyDescent="0.25"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</row>
    <row r="241" spans="2:28" s="99" customFormat="1" ht="15.75" customHeight="1" x14ac:dyDescent="0.25"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</row>
    <row r="242" spans="2:28" s="99" customFormat="1" ht="15.75" customHeight="1" x14ac:dyDescent="0.25"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</row>
    <row r="243" spans="2:28" s="99" customFormat="1" ht="15.75" customHeight="1" x14ac:dyDescent="0.25"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</row>
    <row r="244" spans="2:28" s="99" customFormat="1" ht="15.75" customHeight="1" x14ac:dyDescent="0.25"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</row>
    <row r="245" spans="2:28" s="99" customFormat="1" ht="15.75" customHeight="1" x14ac:dyDescent="0.25"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</row>
    <row r="246" spans="2:28" s="99" customFormat="1" ht="15.75" customHeight="1" x14ac:dyDescent="0.25"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</row>
    <row r="247" spans="2:28" s="99" customFormat="1" ht="15.75" customHeight="1" x14ac:dyDescent="0.25"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</row>
    <row r="248" spans="2:28" s="99" customFormat="1" ht="15.75" customHeight="1" x14ac:dyDescent="0.25"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</row>
    <row r="249" spans="2:28" s="99" customFormat="1" ht="15.75" customHeight="1" x14ac:dyDescent="0.25"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96"/>
    </row>
    <row r="250" spans="2:28" s="99" customFormat="1" ht="15.75" customHeight="1" x14ac:dyDescent="0.25"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</row>
    <row r="251" spans="2:28" s="99" customFormat="1" ht="15.75" customHeight="1" x14ac:dyDescent="0.25"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</row>
    <row r="252" spans="2:28" s="99" customFormat="1" ht="15.75" customHeight="1" x14ac:dyDescent="0.25"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</row>
    <row r="253" spans="2:28" s="99" customFormat="1" ht="15.75" customHeight="1" x14ac:dyDescent="0.25"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</row>
    <row r="254" spans="2:28" s="99" customFormat="1" ht="15.75" customHeight="1" x14ac:dyDescent="0.25"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6"/>
      <c r="AB254" s="96"/>
    </row>
    <row r="255" spans="2:28" s="99" customFormat="1" ht="15.75" customHeight="1" x14ac:dyDescent="0.25"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6"/>
      <c r="AB255" s="96"/>
    </row>
    <row r="256" spans="2:28" s="99" customFormat="1" ht="15.75" customHeight="1" x14ac:dyDescent="0.25"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  <c r="AA256" s="96"/>
      <c r="AB256" s="96"/>
    </row>
    <row r="257" spans="2:28" s="99" customFormat="1" ht="15.75" customHeight="1" x14ac:dyDescent="0.25"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  <c r="AA257" s="96"/>
      <c r="AB257" s="96"/>
    </row>
    <row r="258" spans="2:28" s="99" customFormat="1" ht="15.75" customHeight="1" x14ac:dyDescent="0.25"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6"/>
      <c r="AB258" s="96"/>
    </row>
    <row r="259" spans="2:28" s="99" customFormat="1" ht="15.75" customHeight="1" x14ac:dyDescent="0.25"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  <c r="AA259" s="96"/>
      <c r="AB259" s="96"/>
    </row>
    <row r="260" spans="2:28" s="99" customFormat="1" ht="15.75" customHeight="1" x14ac:dyDescent="0.25"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  <c r="AA260" s="96"/>
      <c r="AB260" s="96"/>
    </row>
    <row r="261" spans="2:28" s="99" customFormat="1" ht="15.75" customHeight="1" x14ac:dyDescent="0.25"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  <c r="AA261" s="96"/>
      <c r="AB261" s="96"/>
    </row>
    <row r="262" spans="2:28" s="99" customFormat="1" ht="15.75" customHeight="1" x14ac:dyDescent="0.25"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  <c r="AA262" s="96"/>
      <c r="AB262" s="96"/>
    </row>
    <row r="263" spans="2:28" s="99" customFormat="1" ht="15.75" customHeight="1" x14ac:dyDescent="0.25"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  <c r="AA263" s="96"/>
      <c r="AB263" s="96"/>
    </row>
    <row r="264" spans="2:28" s="99" customFormat="1" ht="15.75" customHeight="1" x14ac:dyDescent="0.25"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  <c r="AA264" s="96"/>
      <c r="AB264" s="96"/>
    </row>
    <row r="265" spans="2:28" s="99" customFormat="1" ht="15.75" customHeight="1" x14ac:dyDescent="0.25"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  <c r="AA265" s="96"/>
      <c r="AB265" s="96"/>
    </row>
    <row r="266" spans="2:28" s="99" customFormat="1" ht="15.75" customHeight="1" x14ac:dyDescent="0.25"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  <c r="AA266" s="96"/>
      <c r="AB266" s="96"/>
    </row>
    <row r="267" spans="2:28" s="99" customFormat="1" ht="15.75" customHeight="1" x14ac:dyDescent="0.25"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6"/>
      <c r="AB267" s="96"/>
    </row>
    <row r="268" spans="2:28" s="99" customFormat="1" ht="15.75" customHeight="1" x14ac:dyDescent="0.25"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  <c r="AA268" s="96"/>
      <c r="AB268" s="96"/>
    </row>
    <row r="269" spans="2:28" s="99" customFormat="1" ht="15.75" customHeight="1" x14ac:dyDescent="0.25"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  <c r="AA269" s="96"/>
      <c r="AB269" s="96"/>
    </row>
    <row r="270" spans="2:28" s="99" customFormat="1" ht="15.75" customHeight="1" x14ac:dyDescent="0.25"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6"/>
      <c r="AB270" s="96"/>
    </row>
    <row r="271" spans="2:28" s="99" customFormat="1" ht="15.75" customHeight="1" x14ac:dyDescent="0.25"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6"/>
    </row>
    <row r="272" spans="2:28" s="99" customFormat="1" ht="15.75" customHeight="1" x14ac:dyDescent="0.25"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96"/>
    </row>
    <row r="273" spans="2:28" s="99" customFormat="1" ht="15.75" customHeight="1" x14ac:dyDescent="0.25"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96"/>
    </row>
    <row r="274" spans="2:28" s="99" customFormat="1" ht="15.75" customHeight="1" x14ac:dyDescent="0.25"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  <c r="AB274" s="96"/>
    </row>
    <row r="275" spans="2:28" s="99" customFormat="1" ht="15.75" customHeight="1" x14ac:dyDescent="0.25"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96"/>
    </row>
    <row r="276" spans="2:28" s="99" customFormat="1" ht="15.75" customHeight="1" x14ac:dyDescent="0.25"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6"/>
      <c r="AB276" s="96"/>
    </row>
    <row r="277" spans="2:28" s="99" customFormat="1" ht="15.75" customHeight="1" x14ac:dyDescent="0.25"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6"/>
      <c r="AB277" s="96"/>
    </row>
    <row r="278" spans="2:28" s="99" customFormat="1" ht="15.75" customHeight="1" x14ac:dyDescent="0.25"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  <c r="AB278" s="96"/>
    </row>
    <row r="279" spans="2:28" s="99" customFormat="1" ht="15.75" customHeight="1" x14ac:dyDescent="0.25"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6"/>
    </row>
    <row r="280" spans="2:28" s="99" customFormat="1" ht="15.75" customHeight="1" x14ac:dyDescent="0.25"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6"/>
      <c r="AB280" s="96"/>
    </row>
    <row r="281" spans="2:28" s="99" customFormat="1" ht="15.75" customHeight="1" x14ac:dyDescent="0.25"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6"/>
      <c r="AB281" s="96"/>
    </row>
    <row r="282" spans="2:28" s="99" customFormat="1" ht="15.75" customHeight="1" x14ac:dyDescent="0.25"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6"/>
      <c r="AB282" s="96"/>
    </row>
    <row r="283" spans="2:28" s="99" customFormat="1" ht="15.75" customHeight="1" x14ac:dyDescent="0.25"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  <c r="AB283" s="96"/>
    </row>
    <row r="284" spans="2:28" s="99" customFormat="1" ht="15.75" customHeight="1" x14ac:dyDescent="0.25"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  <c r="AB284" s="96"/>
    </row>
    <row r="285" spans="2:28" s="99" customFormat="1" ht="15.75" customHeight="1" x14ac:dyDescent="0.25"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96"/>
    </row>
    <row r="286" spans="2:28" s="99" customFormat="1" ht="15.75" customHeight="1" x14ac:dyDescent="0.25"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  <c r="AB286" s="96"/>
    </row>
    <row r="287" spans="2:28" s="99" customFormat="1" ht="15.75" customHeight="1" x14ac:dyDescent="0.25"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  <c r="AB287" s="96"/>
    </row>
    <row r="288" spans="2:28" s="99" customFormat="1" ht="15.75" customHeight="1" x14ac:dyDescent="0.25"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  <c r="AA288" s="96"/>
      <c r="AB288" s="96"/>
    </row>
    <row r="289" spans="2:28" s="99" customFormat="1" ht="15.75" customHeight="1" x14ac:dyDescent="0.25"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  <c r="AA289" s="96"/>
      <c r="AB289" s="96"/>
    </row>
    <row r="290" spans="2:28" s="99" customFormat="1" ht="15.75" customHeight="1" x14ac:dyDescent="0.25"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  <c r="AA290" s="96"/>
      <c r="AB290" s="96"/>
    </row>
    <row r="291" spans="2:28" s="99" customFormat="1" ht="15.75" customHeight="1" x14ac:dyDescent="0.25"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  <c r="AA291" s="96"/>
      <c r="AB291" s="96"/>
    </row>
    <row r="292" spans="2:28" s="99" customFormat="1" ht="15.75" customHeight="1" x14ac:dyDescent="0.25"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  <c r="AA292" s="96"/>
      <c r="AB292" s="96"/>
    </row>
    <row r="293" spans="2:28" s="99" customFormat="1" ht="15.75" customHeight="1" x14ac:dyDescent="0.25"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  <c r="AA293" s="96"/>
      <c r="AB293" s="96"/>
    </row>
    <row r="294" spans="2:28" s="99" customFormat="1" ht="15.75" customHeight="1" x14ac:dyDescent="0.25"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  <c r="AA294" s="96"/>
      <c r="AB294" s="96"/>
    </row>
    <row r="295" spans="2:28" s="99" customFormat="1" ht="15.75" customHeight="1" x14ac:dyDescent="0.25"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  <c r="AA295" s="96"/>
      <c r="AB295" s="96"/>
    </row>
    <row r="296" spans="2:28" s="99" customFormat="1" ht="15.75" customHeight="1" x14ac:dyDescent="0.25"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  <c r="AA296" s="96"/>
      <c r="AB296" s="96"/>
    </row>
    <row r="297" spans="2:28" s="99" customFormat="1" ht="15.75" customHeight="1" x14ac:dyDescent="0.25"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  <c r="AA297" s="96"/>
      <c r="AB297" s="96"/>
    </row>
    <row r="298" spans="2:28" s="99" customFormat="1" ht="15.75" customHeight="1" x14ac:dyDescent="0.25"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  <c r="AA298" s="96"/>
      <c r="AB298" s="96"/>
    </row>
    <row r="299" spans="2:28" s="99" customFormat="1" ht="15.75" customHeight="1" x14ac:dyDescent="0.25"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  <c r="AA299" s="96"/>
      <c r="AB299" s="96"/>
    </row>
    <row r="300" spans="2:28" s="99" customFormat="1" ht="15.75" customHeight="1" x14ac:dyDescent="0.25"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  <c r="AA300" s="96"/>
      <c r="AB300" s="96"/>
    </row>
    <row r="301" spans="2:28" s="99" customFormat="1" ht="15.75" customHeight="1" x14ac:dyDescent="0.25"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  <c r="AA301" s="96"/>
      <c r="AB301" s="96"/>
    </row>
    <row r="302" spans="2:28" s="99" customFormat="1" ht="15.75" customHeight="1" x14ac:dyDescent="0.25"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  <c r="AA302" s="96"/>
      <c r="AB302" s="96"/>
    </row>
    <row r="303" spans="2:28" s="99" customFormat="1" ht="15.75" customHeight="1" x14ac:dyDescent="0.25"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  <c r="AA303" s="96"/>
      <c r="AB303" s="96"/>
    </row>
    <row r="304" spans="2:28" s="99" customFormat="1" ht="15.75" customHeight="1" x14ac:dyDescent="0.25"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  <c r="AA304" s="96"/>
      <c r="AB304" s="96"/>
    </row>
    <row r="305" spans="2:28" s="99" customFormat="1" ht="15.75" customHeight="1" x14ac:dyDescent="0.25"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  <c r="AA305" s="96"/>
      <c r="AB305" s="96"/>
    </row>
    <row r="306" spans="2:28" s="99" customFormat="1" ht="15.75" customHeight="1" x14ac:dyDescent="0.25"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  <c r="AA306" s="96"/>
      <c r="AB306" s="96"/>
    </row>
    <row r="307" spans="2:28" s="99" customFormat="1" ht="15.75" customHeight="1" x14ac:dyDescent="0.25"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  <c r="AA307" s="96"/>
      <c r="AB307" s="96"/>
    </row>
    <row r="308" spans="2:28" s="99" customFormat="1" ht="15.75" customHeight="1" x14ac:dyDescent="0.25"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  <c r="AA308" s="96"/>
      <c r="AB308" s="96"/>
    </row>
    <row r="309" spans="2:28" s="99" customFormat="1" ht="15.75" customHeight="1" x14ac:dyDescent="0.25"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  <c r="AA309" s="96"/>
      <c r="AB309" s="96"/>
    </row>
    <row r="310" spans="2:28" s="99" customFormat="1" ht="15.75" customHeight="1" x14ac:dyDescent="0.25"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  <c r="AA310" s="96"/>
      <c r="AB310" s="96"/>
    </row>
    <row r="311" spans="2:28" s="99" customFormat="1" ht="15.75" customHeight="1" x14ac:dyDescent="0.25"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  <c r="AA311" s="96"/>
      <c r="AB311" s="96"/>
    </row>
    <row r="312" spans="2:28" s="99" customFormat="1" ht="15.75" customHeight="1" x14ac:dyDescent="0.25"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  <c r="AA312" s="96"/>
      <c r="AB312" s="96"/>
    </row>
    <row r="313" spans="2:28" s="99" customFormat="1" ht="15.75" customHeight="1" x14ac:dyDescent="0.25"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  <c r="AA313" s="96"/>
      <c r="AB313" s="96"/>
    </row>
    <row r="314" spans="2:28" s="99" customFormat="1" ht="15.75" customHeight="1" x14ac:dyDescent="0.25"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  <c r="AA314" s="96"/>
      <c r="AB314" s="96"/>
    </row>
    <row r="315" spans="2:28" s="99" customFormat="1" ht="15.75" customHeight="1" x14ac:dyDescent="0.25"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  <c r="AA315" s="96"/>
      <c r="AB315" s="96"/>
    </row>
    <row r="316" spans="2:28" s="99" customFormat="1" ht="15.75" customHeight="1" x14ac:dyDescent="0.25"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  <c r="AA316" s="96"/>
      <c r="AB316" s="96"/>
    </row>
    <row r="317" spans="2:28" s="99" customFormat="1" ht="15.75" customHeight="1" x14ac:dyDescent="0.25"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  <c r="AA317" s="96"/>
      <c r="AB317" s="96"/>
    </row>
    <row r="318" spans="2:28" s="99" customFormat="1" ht="15.75" customHeight="1" x14ac:dyDescent="0.25"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  <c r="AA318" s="96"/>
      <c r="AB318" s="96"/>
    </row>
    <row r="319" spans="2:28" s="99" customFormat="1" ht="15.75" customHeight="1" x14ac:dyDescent="0.25"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  <c r="AA319" s="96"/>
      <c r="AB319" s="96"/>
    </row>
    <row r="320" spans="2:28" s="99" customFormat="1" ht="15.75" customHeight="1" x14ac:dyDescent="0.25"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  <c r="AA320" s="96"/>
      <c r="AB320" s="96"/>
    </row>
    <row r="321" spans="2:28" s="99" customFormat="1" ht="15.75" customHeight="1" x14ac:dyDescent="0.25"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  <c r="AA321" s="96"/>
      <c r="AB321" s="96"/>
    </row>
    <row r="322" spans="2:28" s="99" customFormat="1" ht="15.75" customHeight="1" x14ac:dyDescent="0.25"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  <c r="AA322" s="96"/>
      <c r="AB322" s="96"/>
    </row>
    <row r="323" spans="2:28" s="99" customFormat="1" ht="15.75" customHeight="1" x14ac:dyDescent="0.25"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  <c r="AA323" s="96"/>
      <c r="AB323" s="96"/>
    </row>
    <row r="324" spans="2:28" s="99" customFormat="1" ht="15.75" customHeight="1" x14ac:dyDescent="0.25"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  <c r="AA324" s="96"/>
      <c r="AB324" s="96"/>
    </row>
    <row r="325" spans="2:28" s="99" customFormat="1" ht="15.75" customHeight="1" x14ac:dyDescent="0.25"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  <c r="AA325" s="96"/>
      <c r="AB325" s="96"/>
    </row>
    <row r="326" spans="2:28" s="99" customFormat="1" ht="15.75" customHeight="1" x14ac:dyDescent="0.25"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  <c r="AA326" s="96"/>
      <c r="AB326" s="96"/>
    </row>
    <row r="327" spans="2:28" s="99" customFormat="1" ht="15.75" customHeight="1" x14ac:dyDescent="0.25"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  <c r="AA327" s="96"/>
      <c r="AB327" s="96"/>
    </row>
    <row r="328" spans="2:28" s="99" customFormat="1" ht="15.75" customHeight="1" x14ac:dyDescent="0.25"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  <c r="AA328" s="96"/>
      <c r="AB328" s="96"/>
    </row>
    <row r="329" spans="2:28" s="99" customFormat="1" ht="15.75" customHeight="1" x14ac:dyDescent="0.25"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  <c r="AA329" s="96"/>
      <c r="AB329" s="96"/>
    </row>
    <row r="330" spans="2:28" s="99" customFormat="1" ht="15.75" customHeight="1" x14ac:dyDescent="0.25"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  <c r="AA330" s="96"/>
      <c r="AB330" s="96"/>
    </row>
    <row r="331" spans="2:28" s="99" customFormat="1" ht="15.75" customHeight="1" x14ac:dyDescent="0.25"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  <c r="AA331" s="96"/>
      <c r="AB331" s="96"/>
    </row>
    <row r="332" spans="2:28" s="99" customFormat="1" ht="15.75" customHeight="1" x14ac:dyDescent="0.25"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  <c r="AA332" s="96"/>
      <c r="AB332" s="96"/>
    </row>
    <row r="333" spans="2:28" s="99" customFormat="1" ht="15.75" customHeight="1" x14ac:dyDescent="0.25"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  <c r="AA333" s="96"/>
      <c r="AB333" s="96"/>
    </row>
    <row r="334" spans="2:28" s="99" customFormat="1" ht="15.75" customHeight="1" x14ac:dyDescent="0.25"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  <c r="AA334" s="96"/>
      <c r="AB334" s="96"/>
    </row>
    <row r="335" spans="2:28" s="99" customFormat="1" ht="15.75" customHeight="1" x14ac:dyDescent="0.25"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  <c r="AA335" s="96"/>
      <c r="AB335" s="96"/>
    </row>
    <row r="336" spans="2:28" s="99" customFormat="1" ht="15.75" customHeight="1" x14ac:dyDescent="0.25"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  <c r="AA336" s="96"/>
      <c r="AB336" s="96"/>
    </row>
    <row r="337" spans="2:28" s="99" customFormat="1" ht="15.75" customHeight="1" x14ac:dyDescent="0.25"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  <c r="AA337" s="96"/>
      <c r="AB337" s="96"/>
    </row>
    <row r="338" spans="2:28" s="99" customFormat="1" ht="15.75" customHeight="1" x14ac:dyDescent="0.25"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  <c r="AA338" s="96"/>
      <c r="AB338" s="96"/>
    </row>
    <row r="339" spans="2:28" s="99" customFormat="1" ht="15.75" customHeight="1" x14ac:dyDescent="0.25"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  <c r="AA339" s="96"/>
      <c r="AB339" s="96"/>
    </row>
    <row r="340" spans="2:28" s="99" customFormat="1" ht="15.75" customHeight="1" x14ac:dyDescent="0.25"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  <c r="AA340" s="96"/>
      <c r="AB340" s="96"/>
    </row>
    <row r="341" spans="2:28" s="99" customFormat="1" ht="15.75" customHeight="1" x14ac:dyDescent="0.25"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  <c r="AA341" s="96"/>
      <c r="AB341" s="96"/>
    </row>
    <row r="342" spans="2:28" s="99" customFormat="1" ht="15.75" customHeight="1" x14ac:dyDescent="0.25"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  <c r="AA342" s="96"/>
      <c r="AB342" s="96"/>
    </row>
    <row r="343" spans="2:28" s="99" customFormat="1" ht="15.75" customHeight="1" x14ac:dyDescent="0.25"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  <c r="AA343" s="96"/>
      <c r="AB343" s="96"/>
    </row>
    <row r="344" spans="2:28" s="99" customFormat="1" ht="15.75" customHeight="1" x14ac:dyDescent="0.25"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  <c r="AA344" s="96"/>
      <c r="AB344" s="96"/>
    </row>
    <row r="345" spans="2:28" s="99" customFormat="1" ht="15.75" customHeight="1" x14ac:dyDescent="0.25"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  <c r="AA345" s="96"/>
      <c r="AB345" s="96"/>
    </row>
    <row r="346" spans="2:28" s="99" customFormat="1" ht="15.75" customHeight="1" x14ac:dyDescent="0.25"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  <c r="AA346" s="96"/>
      <c r="AB346" s="96"/>
    </row>
    <row r="347" spans="2:28" s="99" customFormat="1" ht="15.75" customHeight="1" x14ac:dyDescent="0.25"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  <c r="AA347" s="96"/>
      <c r="AB347" s="96"/>
    </row>
    <row r="348" spans="2:28" s="99" customFormat="1" ht="15.75" customHeight="1" x14ac:dyDescent="0.25"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  <c r="AA348" s="96"/>
      <c r="AB348" s="96"/>
    </row>
    <row r="349" spans="2:28" s="99" customFormat="1" ht="15.75" customHeight="1" x14ac:dyDescent="0.25"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  <c r="AA349" s="96"/>
      <c r="AB349" s="96"/>
    </row>
    <row r="350" spans="2:28" s="99" customFormat="1" ht="15.75" customHeight="1" x14ac:dyDescent="0.25"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  <c r="AA350" s="96"/>
      <c r="AB350" s="96"/>
    </row>
    <row r="351" spans="2:28" s="99" customFormat="1" ht="15.75" customHeight="1" x14ac:dyDescent="0.25"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  <c r="AA351" s="96"/>
      <c r="AB351" s="96"/>
    </row>
    <row r="352" spans="2:28" s="99" customFormat="1" ht="15.75" customHeight="1" x14ac:dyDescent="0.25"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  <c r="AA352" s="96"/>
      <c r="AB352" s="96"/>
    </row>
    <row r="353" spans="2:28" s="99" customFormat="1" ht="15.75" customHeight="1" x14ac:dyDescent="0.25"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  <c r="AA353" s="96"/>
      <c r="AB353" s="96"/>
    </row>
    <row r="354" spans="2:28" s="99" customFormat="1" ht="15.75" customHeight="1" x14ac:dyDescent="0.25"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  <c r="AA354" s="96"/>
      <c r="AB354" s="96"/>
    </row>
    <row r="355" spans="2:28" s="99" customFormat="1" ht="15.75" customHeight="1" x14ac:dyDescent="0.25"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  <c r="AA355" s="96"/>
      <c r="AB355" s="96"/>
    </row>
    <row r="356" spans="2:28" s="99" customFormat="1" ht="15.75" customHeight="1" x14ac:dyDescent="0.25"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  <c r="AA356" s="96"/>
      <c r="AB356" s="96"/>
    </row>
    <row r="357" spans="2:28" s="99" customFormat="1" ht="15.75" customHeight="1" x14ac:dyDescent="0.25"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  <c r="AA357" s="96"/>
      <c r="AB357" s="96"/>
    </row>
    <row r="358" spans="2:28" s="99" customFormat="1" ht="15.75" customHeight="1" x14ac:dyDescent="0.25"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  <c r="AA358" s="96"/>
      <c r="AB358" s="96"/>
    </row>
    <row r="359" spans="2:28" s="99" customFormat="1" ht="15.75" customHeight="1" x14ac:dyDescent="0.25"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  <c r="AA359" s="96"/>
      <c r="AB359" s="96"/>
    </row>
    <row r="360" spans="2:28" s="99" customFormat="1" ht="15.75" customHeight="1" x14ac:dyDescent="0.25"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  <c r="AA360" s="96"/>
      <c r="AB360" s="96"/>
    </row>
    <row r="361" spans="2:28" s="99" customFormat="1" ht="15.75" customHeight="1" x14ac:dyDescent="0.25"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  <c r="AA361" s="96"/>
      <c r="AB361" s="96"/>
    </row>
    <row r="362" spans="2:28" s="99" customFormat="1" ht="15.75" customHeight="1" x14ac:dyDescent="0.25"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  <c r="AA362" s="96"/>
      <c r="AB362" s="96"/>
    </row>
    <row r="363" spans="2:28" s="99" customFormat="1" ht="15.75" customHeight="1" x14ac:dyDescent="0.25"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  <c r="AA363" s="96"/>
      <c r="AB363" s="96"/>
    </row>
    <row r="364" spans="2:28" s="99" customFormat="1" ht="15.75" customHeight="1" x14ac:dyDescent="0.25"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  <c r="AA364" s="96"/>
      <c r="AB364" s="96"/>
    </row>
    <row r="365" spans="2:28" s="99" customFormat="1" ht="15.75" customHeight="1" x14ac:dyDescent="0.25"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  <c r="AA365" s="96"/>
      <c r="AB365" s="96"/>
    </row>
    <row r="366" spans="2:28" s="99" customFormat="1" ht="15.75" customHeight="1" x14ac:dyDescent="0.25"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  <c r="AA366" s="96"/>
      <c r="AB366" s="96"/>
    </row>
    <row r="367" spans="2:28" s="99" customFormat="1" ht="15.75" customHeight="1" x14ac:dyDescent="0.25"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  <c r="AA367" s="96"/>
      <c r="AB367" s="96"/>
    </row>
    <row r="368" spans="2:28" s="99" customFormat="1" ht="15.75" customHeight="1" x14ac:dyDescent="0.25"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  <c r="AA368" s="96"/>
      <c r="AB368" s="96"/>
    </row>
    <row r="369" spans="2:28" s="99" customFormat="1" ht="15.75" customHeight="1" x14ac:dyDescent="0.25"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  <c r="AA369" s="96"/>
      <c r="AB369" s="96"/>
    </row>
    <row r="370" spans="2:28" s="99" customFormat="1" ht="15.75" customHeight="1" x14ac:dyDescent="0.25"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  <c r="AA370" s="96"/>
      <c r="AB370" s="96"/>
    </row>
    <row r="371" spans="2:28" s="99" customFormat="1" ht="15.75" customHeight="1" x14ac:dyDescent="0.25"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  <c r="AA371" s="96"/>
      <c r="AB371" s="96"/>
    </row>
    <row r="372" spans="2:28" s="99" customFormat="1" ht="15.75" customHeight="1" x14ac:dyDescent="0.25"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  <c r="AA372" s="96"/>
      <c r="AB372" s="96"/>
    </row>
    <row r="373" spans="2:28" s="99" customFormat="1" ht="15.75" customHeight="1" x14ac:dyDescent="0.25"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  <c r="AA373" s="96"/>
      <c r="AB373" s="96"/>
    </row>
    <row r="374" spans="2:28" s="99" customFormat="1" ht="15.75" customHeight="1" x14ac:dyDescent="0.25"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  <c r="AA374" s="96"/>
      <c r="AB374" s="96"/>
    </row>
    <row r="375" spans="2:28" s="99" customFormat="1" ht="15.75" customHeight="1" x14ac:dyDescent="0.25"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  <c r="AA375" s="96"/>
      <c r="AB375" s="96"/>
    </row>
    <row r="376" spans="2:28" s="99" customFormat="1" ht="15.75" customHeight="1" x14ac:dyDescent="0.25"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  <c r="AA376" s="96"/>
      <c r="AB376" s="96"/>
    </row>
    <row r="377" spans="2:28" s="99" customFormat="1" ht="15.75" customHeight="1" x14ac:dyDescent="0.25"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  <c r="AA377" s="96"/>
      <c r="AB377" s="96"/>
    </row>
    <row r="378" spans="2:28" s="99" customFormat="1" ht="15.75" customHeight="1" x14ac:dyDescent="0.25"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  <c r="AA378" s="96"/>
      <c r="AB378" s="96"/>
    </row>
    <row r="379" spans="2:28" s="99" customFormat="1" ht="15.75" customHeight="1" x14ac:dyDescent="0.25"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  <c r="AA379" s="96"/>
      <c r="AB379" s="96"/>
    </row>
    <row r="380" spans="2:28" s="99" customFormat="1" ht="15.75" customHeight="1" x14ac:dyDescent="0.25"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  <c r="AA380" s="96"/>
      <c r="AB380" s="96"/>
    </row>
    <row r="381" spans="2:28" s="99" customFormat="1" ht="15.75" customHeight="1" x14ac:dyDescent="0.25"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  <c r="AA381" s="96"/>
      <c r="AB381" s="96"/>
    </row>
    <row r="382" spans="2:28" s="99" customFormat="1" ht="15.75" customHeight="1" x14ac:dyDescent="0.25"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  <c r="AA382" s="96"/>
      <c r="AB382" s="96"/>
    </row>
    <row r="383" spans="2:28" s="99" customFormat="1" ht="15.75" customHeight="1" x14ac:dyDescent="0.25"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  <c r="AA383" s="96"/>
      <c r="AB383" s="96"/>
    </row>
    <row r="384" spans="2:28" s="99" customFormat="1" ht="15.75" customHeight="1" x14ac:dyDescent="0.25"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  <c r="AA384" s="96"/>
      <c r="AB384" s="96"/>
    </row>
    <row r="385" spans="2:28" s="99" customFormat="1" ht="15.75" customHeight="1" x14ac:dyDescent="0.25"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  <c r="AA385" s="96"/>
      <c r="AB385" s="96"/>
    </row>
    <row r="386" spans="2:28" s="99" customFormat="1" ht="15.75" customHeight="1" x14ac:dyDescent="0.25"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  <c r="AA386" s="96"/>
      <c r="AB386" s="96"/>
    </row>
    <row r="387" spans="2:28" s="99" customFormat="1" ht="15.75" customHeight="1" x14ac:dyDescent="0.25"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  <c r="AA387" s="96"/>
      <c r="AB387" s="96"/>
    </row>
    <row r="388" spans="2:28" s="99" customFormat="1" ht="15.75" customHeight="1" x14ac:dyDescent="0.25"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  <c r="AA388" s="96"/>
      <c r="AB388" s="96"/>
    </row>
    <row r="389" spans="2:28" s="99" customFormat="1" ht="15.75" customHeight="1" x14ac:dyDescent="0.25"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  <c r="AA389" s="96"/>
      <c r="AB389" s="96"/>
    </row>
    <row r="390" spans="2:28" s="99" customFormat="1" ht="15.75" customHeight="1" x14ac:dyDescent="0.25"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  <c r="AA390" s="96"/>
      <c r="AB390" s="96"/>
    </row>
    <row r="391" spans="2:28" s="99" customFormat="1" ht="15.75" customHeight="1" x14ac:dyDescent="0.25"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  <c r="AA391" s="96"/>
      <c r="AB391" s="96"/>
    </row>
    <row r="392" spans="2:28" s="99" customFormat="1" ht="15.75" customHeight="1" x14ac:dyDescent="0.25"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  <c r="AA392" s="96"/>
      <c r="AB392" s="96"/>
    </row>
    <row r="393" spans="2:28" s="99" customFormat="1" ht="15.75" customHeight="1" x14ac:dyDescent="0.25"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  <c r="AA393" s="96"/>
      <c r="AB393" s="96"/>
    </row>
    <row r="394" spans="2:28" s="99" customFormat="1" ht="15.75" customHeight="1" x14ac:dyDescent="0.25"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  <c r="AA394" s="96"/>
      <c r="AB394" s="96"/>
    </row>
    <row r="395" spans="2:28" s="99" customFormat="1" ht="15.75" customHeight="1" x14ac:dyDescent="0.25"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  <c r="AA395" s="96"/>
      <c r="AB395" s="96"/>
    </row>
    <row r="396" spans="2:28" s="99" customFormat="1" ht="15.75" customHeight="1" x14ac:dyDescent="0.25"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  <c r="AA396" s="96"/>
      <c r="AB396" s="96"/>
    </row>
    <row r="397" spans="2:28" s="99" customFormat="1" ht="15.75" customHeight="1" x14ac:dyDescent="0.25"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  <c r="AA397" s="96"/>
      <c r="AB397" s="96"/>
    </row>
    <row r="398" spans="2:28" s="99" customFormat="1" ht="15.75" customHeight="1" x14ac:dyDescent="0.25"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  <c r="AA398" s="96"/>
      <c r="AB398" s="96"/>
    </row>
    <row r="399" spans="2:28" s="99" customFormat="1" ht="15.75" customHeight="1" x14ac:dyDescent="0.25"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  <c r="AA399" s="96"/>
      <c r="AB399" s="96"/>
    </row>
    <row r="400" spans="2:28" s="99" customFormat="1" ht="15.75" customHeight="1" x14ac:dyDescent="0.25"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  <c r="AA400" s="96"/>
      <c r="AB400" s="96"/>
    </row>
    <row r="401" spans="2:28" s="99" customFormat="1" ht="15.75" customHeight="1" x14ac:dyDescent="0.25"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  <c r="AA401" s="96"/>
      <c r="AB401" s="96"/>
    </row>
    <row r="402" spans="2:28" s="99" customFormat="1" ht="15.75" customHeight="1" x14ac:dyDescent="0.25"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  <c r="AA402" s="96"/>
      <c r="AB402" s="96"/>
    </row>
    <row r="403" spans="2:28" s="99" customFormat="1" ht="15.75" customHeight="1" x14ac:dyDescent="0.25"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  <c r="AA403" s="96"/>
      <c r="AB403" s="96"/>
    </row>
    <row r="404" spans="2:28" s="99" customFormat="1" ht="15.75" customHeight="1" x14ac:dyDescent="0.25"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  <c r="AA404" s="96"/>
      <c r="AB404" s="96"/>
    </row>
    <row r="405" spans="2:28" s="99" customFormat="1" ht="15.75" customHeight="1" x14ac:dyDescent="0.25"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  <c r="AA405" s="96"/>
      <c r="AB405" s="96"/>
    </row>
    <row r="406" spans="2:28" s="99" customFormat="1" ht="15.75" customHeight="1" x14ac:dyDescent="0.25"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  <c r="AA406" s="96"/>
      <c r="AB406" s="96"/>
    </row>
    <row r="407" spans="2:28" s="99" customFormat="1" ht="15.75" customHeight="1" x14ac:dyDescent="0.25"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  <c r="AA407" s="96"/>
      <c r="AB407" s="96"/>
    </row>
    <row r="408" spans="2:28" s="99" customFormat="1" ht="15.75" customHeight="1" x14ac:dyDescent="0.25"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  <c r="AA408" s="96"/>
      <c r="AB408" s="96"/>
    </row>
    <row r="409" spans="2:28" s="99" customFormat="1" ht="15.75" customHeight="1" x14ac:dyDescent="0.25"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  <c r="AA409" s="96"/>
      <c r="AB409" s="96"/>
    </row>
    <row r="410" spans="2:28" s="99" customFormat="1" ht="15.75" customHeight="1" x14ac:dyDescent="0.25"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  <c r="AA410" s="96"/>
      <c r="AB410" s="96"/>
    </row>
    <row r="411" spans="2:28" s="99" customFormat="1" ht="15.75" customHeight="1" x14ac:dyDescent="0.25"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  <c r="AA411" s="96"/>
      <c r="AB411" s="96"/>
    </row>
    <row r="412" spans="2:28" s="99" customFormat="1" ht="15.75" customHeight="1" x14ac:dyDescent="0.25"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  <c r="AA412" s="96"/>
      <c r="AB412" s="96"/>
    </row>
    <row r="413" spans="2:28" s="99" customFormat="1" ht="15.75" customHeight="1" x14ac:dyDescent="0.25"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  <c r="AA413" s="96"/>
      <c r="AB413" s="96"/>
    </row>
    <row r="414" spans="2:28" s="99" customFormat="1" ht="15.75" customHeight="1" x14ac:dyDescent="0.25"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  <c r="AA414" s="96"/>
      <c r="AB414" s="96"/>
    </row>
    <row r="415" spans="2:28" s="99" customFormat="1" ht="15.75" customHeight="1" x14ac:dyDescent="0.25"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  <c r="AA415" s="96"/>
      <c r="AB415" s="96"/>
    </row>
    <row r="416" spans="2:28" s="99" customFormat="1" ht="15.75" customHeight="1" x14ac:dyDescent="0.25"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  <c r="AA416" s="96"/>
      <c r="AB416" s="96"/>
    </row>
    <row r="417" spans="2:28" s="99" customFormat="1" ht="15.75" customHeight="1" x14ac:dyDescent="0.25"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  <c r="AA417" s="96"/>
      <c r="AB417" s="96"/>
    </row>
    <row r="418" spans="2:28" s="99" customFormat="1" ht="15.75" customHeight="1" x14ac:dyDescent="0.25"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  <c r="AA418" s="96"/>
      <c r="AB418" s="96"/>
    </row>
    <row r="419" spans="2:28" s="99" customFormat="1" ht="15.75" customHeight="1" x14ac:dyDescent="0.25"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  <c r="AA419" s="96"/>
      <c r="AB419" s="96"/>
    </row>
    <row r="420" spans="2:28" s="99" customFormat="1" ht="15.75" customHeight="1" x14ac:dyDescent="0.25"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  <c r="AA420" s="96"/>
      <c r="AB420" s="96"/>
    </row>
    <row r="421" spans="2:28" s="99" customFormat="1" ht="15.75" customHeight="1" x14ac:dyDescent="0.25"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  <c r="AA421" s="96"/>
      <c r="AB421" s="96"/>
    </row>
    <row r="422" spans="2:28" s="99" customFormat="1" ht="15.75" customHeight="1" x14ac:dyDescent="0.25"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  <c r="AA422" s="96"/>
      <c r="AB422" s="96"/>
    </row>
    <row r="423" spans="2:28" s="99" customFormat="1" ht="15.75" customHeight="1" x14ac:dyDescent="0.25"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  <c r="AA423" s="96"/>
      <c r="AB423" s="96"/>
    </row>
    <row r="424" spans="2:28" s="99" customFormat="1" ht="15.75" customHeight="1" x14ac:dyDescent="0.25"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  <c r="AA424" s="96"/>
      <c r="AB424" s="96"/>
    </row>
    <row r="425" spans="2:28" s="99" customFormat="1" ht="15.75" customHeight="1" x14ac:dyDescent="0.25"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  <c r="AA425" s="96"/>
      <c r="AB425" s="96"/>
    </row>
    <row r="426" spans="2:28" s="99" customFormat="1" ht="15.75" customHeight="1" x14ac:dyDescent="0.25"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  <c r="AA426" s="96"/>
      <c r="AB426" s="96"/>
    </row>
    <row r="427" spans="2:28" s="99" customFormat="1" ht="15.75" customHeight="1" x14ac:dyDescent="0.25"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  <c r="AA427" s="96"/>
      <c r="AB427" s="96"/>
    </row>
    <row r="428" spans="2:28" s="99" customFormat="1" ht="15.75" customHeight="1" x14ac:dyDescent="0.25"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  <c r="AA428" s="96"/>
      <c r="AB428" s="96"/>
    </row>
    <row r="429" spans="2:28" s="99" customFormat="1" ht="15.75" customHeight="1" x14ac:dyDescent="0.25"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  <c r="AA429" s="96"/>
      <c r="AB429" s="96"/>
    </row>
    <row r="430" spans="2:28" s="99" customFormat="1" ht="15.75" customHeight="1" x14ac:dyDescent="0.25"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  <c r="AA430" s="96"/>
      <c r="AB430" s="96"/>
    </row>
    <row r="431" spans="2:28" s="99" customFormat="1" ht="15.75" customHeight="1" x14ac:dyDescent="0.25"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  <c r="AA431" s="96"/>
      <c r="AB431" s="96"/>
    </row>
    <row r="432" spans="2:28" s="99" customFormat="1" ht="15.75" customHeight="1" x14ac:dyDescent="0.25"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  <c r="AA432" s="96"/>
      <c r="AB432" s="96"/>
    </row>
    <row r="433" spans="2:28" s="99" customFormat="1" ht="15.75" customHeight="1" x14ac:dyDescent="0.25"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  <c r="AA433" s="96"/>
      <c r="AB433" s="96"/>
    </row>
    <row r="434" spans="2:28" s="99" customFormat="1" ht="15.75" customHeight="1" x14ac:dyDescent="0.25"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  <c r="AA434" s="96"/>
      <c r="AB434" s="96"/>
    </row>
    <row r="435" spans="2:28" s="99" customFormat="1" ht="15.75" customHeight="1" x14ac:dyDescent="0.25"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  <c r="AA435" s="96"/>
      <c r="AB435" s="96"/>
    </row>
    <row r="436" spans="2:28" s="99" customFormat="1" ht="15.75" customHeight="1" x14ac:dyDescent="0.25"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  <c r="AA436" s="96"/>
      <c r="AB436" s="96"/>
    </row>
    <row r="437" spans="2:28" s="99" customFormat="1" ht="15.75" customHeight="1" x14ac:dyDescent="0.25"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  <c r="AA437" s="96"/>
      <c r="AB437" s="96"/>
    </row>
    <row r="438" spans="2:28" s="99" customFormat="1" ht="15.75" customHeight="1" x14ac:dyDescent="0.25"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  <c r="AA438" s="96"/>
      <c r="AB438" s="96"/>
    </row>
    <row r="439" spans="2:28" s="99" customFormat="1" ht="15.75" customHeight="1" x14ac:dyDescent="0.25"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  <c r="AA439" s="96"/>
      <c r="AB439" s="96"/>
    </row>
    <row r="440" spans="2:28" s="99" customFormat="1" ht="15.75" customHeight="1" x14ac:dyDescent="0.25"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  <c r="AA440" s="96"/>
      <c r="AB440" s="96"/>
    </row>
    <row r="441" spans="2:28" s="99" customFormat="1" ht="15.75" customHeight="1" x14ac:dyDescent="0.25"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  <c r="AA441" s="96"/>
      <c r="AB441" s="96"/>
    </row>
    <row r="442" spans="2:28" s="99" customFormat="1" ht="15.75" customHeight="1" x14ac:dyDescent="0.25"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  <c r="AA442" s="96"/>
      <c r="AB442" s="96"/>
    </row>
    <row r="443" spans="2:28" s="99" customFormat="1" ht="15.75" customHeight="1" x14ac:dyDescent="0.25"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  <c r="AA443" s="96"/>
      <c r="AB443" s="96"/>
    </row>
    <row r="444" spans="2:28" s="99" customFormat="1" ht="15.75" customHeight="1" x14ac:dyDescent="0.25"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  <c r="AA444" s="96"/>
      <c r="AB444" s="96"/>
    </row>
    <row r="445" spans="2:28" s="99" customFormat="1" ht="15.75" customHeight="1" x14ac:dyDescent="0.25"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  <c r="AA445" s="96"/>
      <c r="AB445" s="96"/>
    </row>
    <row r="446" spans="2:28" s="99" customFormat="1" ht="15.75" customHeight="1" x14ac:dyDescent="0.25"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  <c r="AA446" s="96"/>
      <c r="AB446" s="96"/>
    </row>
    <row r="447" spans="2:28" s="99" customFormat="1" ht="15.75" customHeight="1" x14ac:dyDescent="0.25"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  <c r="AA447" s="96"/>
      <c r="AB447" s="96"/>
    </row>
    <row r="448" spans="2:28" s="99" customFormat="1" ht="15.75" customHeight="1" x14ac:dyDescent="0.25"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  <c r="AA448" s="96"/>
      <c r="AB448" s="96"/>
    </row>
    <row r="449" spans="2:28" s="99" customFormat="1" ht="15.75" customHeight="1" x14ac:dyDescent="0.25"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  <c r="AA449" s="96"/>
      <c r="AB449" s="96"/>
    </row>
    <row r="450" spans="2:28" s="99" customFormat="1" ht="15.75" customHeight="1" x14ac:dyDescent="0.25"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  <c r="AA450" s="96"/>
      <c r="AB450" s="96"/>
    </row>
    <row r="451" spans="2:28" s="99" customFormat="1" ht="15.75" customHeight="1" x14ac:dyDescent="0.25"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  <c r="AA451" s="96"/>
      <c r="AB451" s="96"/>
    </row>
    <row r="452" spans="2:28" s="99" customFormat="1" ht="15.75" customHeight="1" x14ac:dyDescent="0.25"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  <c r="AA452" s="96"/>
      <c r="AB452" s="96"/>
    </row>
    <row r="453" spans="2:28" s="99" customFormat="1" ht="15.75" customHeight="1" x14ac:dyDescent="0.25"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  <c r="AA453" s="96"/>
      <c r="AB453" s="96"/>
    </row>
    <row r="454" spans="2:28" s="99" customFormat="1" ht="15.75" customHeight="1" x14ac:dyDescent="0.25"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  <c r="AA454" s="96"/>
      <c r="AB454" s="96"/>
    </row>
    <row r="455" spans="2:28" s="99" customFormat="1" ht="15.75" customHeight="1" x14ac:dyDescent="0.25"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  <c r="AA455" s="96"/>
      <c r="AB455" s="96"/>
    </row>
    <row r="456" spans="2:28" s="99" customFormat="1" ht="15.75" customHeight="1" x14ac:dyDescent="0.25"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  <c r="AA456" s="96"/>
      <c r="AB456" s="96"/>
    </row>
    <row r="457" spans="2:28" s="99" customFormat="1" ht="15.75" customHeight="1" x14ac:dyDescent="0.25"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  <c r="AA457" s="96"/>
      <c r="AB457" s="96"/>
    </row>
    <row r="458" spans="2:28" s="99" customFormat="1" ht="15.75" customHeight="1" x14ac:dyDescent="0.25"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  <c r="AA458" s="96"/>
      <c r="AB458" s="96"/>
    </row>
    <row r="459" spans="2:28" s="99" customFormat="1" ht="15.75" customHeight="1" x14ac:dyDescent="0.25"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  <c r="AA459" s="96"/>
      <c r="AB459" s="96"/>
    </row>
    <row r="460" spans="2:28" s="99" customFormat="1" ht="15.75" customHeight="1" x14ac:dyDescent="0.25"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  <c r="AA460" s="96"/>
      <c r="AB460" s="96"/>
    </row>
    <row r="461" spans="2:28" s="99" customFormat="1" ht="15.75" customHeight="1" x14ac:dyDescent="0.25"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  <c r="AA461" s="96"/>
      <c r="AB461" s="96"/>
    </row>
    <row r="462" spans="2:28" s="99" customFormat="1" ht="15.75" customHeight="1" x14ac:dyDescent="0.25"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  <c r="AA462" s="96"/>
      <c r="AB462" s="96"/>
    </row>
    <row r="463" spans="2:28" s="99" customFormat="1" ht="15.75" customHeight="1" x14ac:dyDescent="0.25"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  <c r="AA463" s="96"/>
      <c r="AB463" s="96"/>
    </row>
    <row r="464" spans="2:28" s="99" customFormat="1" ht="15.75" customHeight="1" x14ac:dyDescent="0.25"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  <c r="AA464" s="96"/>
      <c r="AB464" s="96"/>
    </row>
    <row r="465" spans="2:28" s="99" customFormat="1" ht="15.75" customHeight="1" x14ac:dyDescent="0.25"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  <c r="AA465" s="96"/>
      <c r="AB465" s="96"/>
    </row>
    <row r="466" spans="2:28" s="99" customFormat="1" ht="15.75" customHeight="1" x14ac:dyDescent="0.25"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  <c r="AA466" s="96"/>
      <c r="AB466" s="96"/>
    </row>
    <row r="467" spans="2:28" s="99" customFormat="1" ht="15.75" customHeight="1" x14ac:dyDescent="0.25"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  <c r="AA467" s="96"/>
      <c r="AB467" s="96"/>
    </row>
    <row r="468" spans="2:28" s="99" customFormat="1" ht="15.75" customHeight="1" x14ac:dyDescent="0.25"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  <c r="AA468" s="96"/>
      <c r="AB468" s="96"/>
    </row>
    <row r="469" spans="2:28" s="99" customFormat="1" ht="15.75" customHeight="1" x14ac:dyDescent="0.25"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  <c r="AA469" s="96"/>
      <c r="AB469" s="96"/>
    </row>
    <row r="470" spans="2:28" s="99" customFormat="1" ht="15.75" customHeight="1" x14ac:dyDescent="0.25"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  <c r="AA470" s="96"/>
      <c r="AB470" s="96"/>
    </row>
    <row r="471" spans="2:28" s="99" customFormat="1" ht="15.75" customHeight="1" x14ac:dyDescent="0.25"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  <c r="AA471" s="96"/>
      <c r="AB471" s="96"/>
    </row>
    <row r="472" spans="2:28" s="99" customFormat="1" ht="15.75" customHeight="1" x14ac:dyDescent="0.25"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  <c r="AA472" s="96"/>
      <c r="AB472" s="96"/>
    </row>
    <row r="473" spans="2:28" s="99" customFormat="1" ht="15.75" customHeight="1" x14ac:dyDescent="0.25"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  <c r="AA473" s="96"/>
      <c r="AB473" s="96"/>
    </row>
    <row r="474" spans="2:28" s="99" customFormat="1" ht="15.75" customHeight="1" x14ac:dyDescent="0.25"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  <c r="AA474" s="96"/>
      <c r="AB474" s="96"/>
    </row>
    <row r="475" spans="2:28" s="99" customFormat="1" ht="15.75" customHeight="1" x14ac:dyDescent="0.25"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  <c r="AA475" s="96"/>
      <c r="AB475" s="96"/>
    </row>
    <row r="476" spans="2:28" s="99" customFormat="1" ht="15.75" customHeight="1" x14ac:dyDescent="0.25"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  <c r="AA476" s="96"/>
      <c r="AB476" s="96"/>
    </row>
    <row r="477" spans="2:28" s="99" customFormat="1" ht="15.75" customHeight="1" x14ac:dyDescent="0.25"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  <c r="AA477" s="96"/>
      <c r="AB477" s="96"/>
    </row>
    <row r="478" spans="2:28" s="99" customFormat="1" ht="15.75" customHeight="1" x14ac:dyDescent="0.25"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  <c r="AA478" s="96"/>
      <c r="AB478" s="96"/>
    </row>
    <row r="479" spans="2:28" s="99" customFormat="1" ht="15.75" customHeight="1" x14ac:dyDescent="0.25"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  <c r="AA479" s="96"/>
      <c r="AB479" s="96"/>
    </row>
    <row r="480" spans="2:28" s="99" customFormat="1" ht="15.75" customHeight="1" x14ac:dyDescent="0.25"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  <c r="AA480" s="96"/>
      <c r="AB480" s="96"/>
    </row>
    <row r="481" spans="2:28" s="99" customFormat="1" ht="15.75" customHeight="1" x14ac:dyDescent="0.25"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  <c r="AA481" s="96"/>
      <c r="AB481" s="96"/>
    </row>
    <row r="482" spans="2:28" s="99" customFormat="1" ht="15.75" customHeight="1" x14ac:dyDescent="0.25"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  <c r="AA482" s="96"/>
      <c r="AB482" s="96"/>
    </row>
    <row r="483" spans="2:28" s="99" customFormat="1" ht="15.75" customHeight="1" x14ac:dyDescent="0.25"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  <c r="AA483" s="96"/>
      <c r="AB483" s="96"/>
    </row>
    <row r="484" spans="2:28" s="99" customFormat="1" ht="15.75" customHeight="1" x14ac:dyDescent="0.25"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  <c r="AA484" s="96"/>
      <c r="AB484" s="96"/>
    </row>
    <row r="485" spans="2:28" s="99" customFormat="1" ht="15.75" customHeight="1" x14ac:dyDescent="0.25"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  <c r="AA485" s="96"/>
      <c r="AB485" s="96"/>
    </row>
    <row r="486" spans="2:28" s="99" customFormat="1" ht="15.75" customHeight="1" x14ac:dyDescent="0.25"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  <c r="AA486" s="96"/>
      <c r="AB486" s="96"/>
    </row>
    <row r="487" spans="2:28" s="99" customFormat="1" ht="15.75" customHeight="1" x14ac:dyDescent="0.25"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  <c r="AA487" s="96"/>
      <c r="AB487" s="96"/>
    </row>
    <row r="488" spans="2:28" s="99" customFormat="1" ht="15.75" customHeight="1" x14ac:dyDescent="0.25"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  <c r="AA488" s="96"/>
      <c r="AB488" s="96"/>
    </row>
    <row r="489" spans="2:28" s="99" customFormat="1" ht="15.75" customHeight="1" x14ac:dyDescent="0.25"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  <c r="AA489" s="96"/>
      <c r="AB489" s="96"/>
    </row>
    <row r="490" spans="2:28" s="99" customFormat="1" ht="15.75" customHeight="1" x14ac:dyDescent="0.25"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  <c r="AA490" s="96"/>
      <c r="AB490" s="96"/>
    </row>
    <row r="491" spans="2:28" s="99" customFormat="1" ht="15.75" customHeight="1" x14ac:dyDescent="0.25"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  <c r="AA491" s="96"/>
      <c r="AB491" s="96"/>
    </row>
    <row r="492" spans="2:28" s="99" customFormat="1" ht="15.75" customHeight="1" x14ac:dyDescent="0.25"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  <c r="AA492" s="96"/>
      <c r="AB492" s="96"/>
    </row>
    <row r="493" spans="2:28" s="99" customFormat="1" ht="15.75" customHeight="1" x14ac:dyDescent="0.25"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  <c r="AA493" s="96"/>
      <c r="AB493" s="96"/>
    </row>
    <row r="494" spans="2:28" s="99" customFormat="1" ht="15.75" customHeight="1" x14ac:dyDescent="0.25"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  <c r="AA494" s="96"/>
      <c r="AB494" s="96"/>
    </row>
    <row r="495" spans="2:28" s="99" customFormat="1" ht="15.75" customHeight="1" x14ac:dyDescent="0.25"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  <c r="AA495" s="96"/>
      <c r="AB495" s="96"/>
    </row>
    <row r="496" spans="2:28" s="99" customFormat="1" ht="15.75" customHeight="1" x14ac:dyDescent="0.25"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  <c r="AA496" s="96"/>
      <c r="AB496" s="96"/>
    </row>
    <row r="497" spans="2:28" s="99" customFormat="1" ht="15.75" customHeight="1" x14ac:dyDescent="0.25"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  <c r="AA497" s="96"/>
      <c r="AB497" s="96"/>
    </row>
    <row r="498" spans="2:28" s="99" customFormat="1" ht="15.75" customHeight="1" x14ac:dyDescent="0.25"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  <c r="AA498" s="96"/>
      <c r="AB498" s="96"/>
    </row>
    <row r="499" spans="2:28" s="99" customFormat="1" ht="15.75" customHeight="1" x14ac:dyDescent="0.25"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  <c r="AA499" s="96"/>
      <c r="AB499" s="96"/>
    </row>
    <row r="500" spans="2:28" s="99" customFormat="1" ht="15.75" customHeight="1" x14ac:dyDescent="0.25"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  <c r="AA500" s="96"/>
      <c r="AB500" s="96"/>
    </row>
    <row r="501" spans="2:28" s="99" customFormat="1" ht="15.75" customHeight="1" x14ac:dyDescent="0.25"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  <c r="AA501" s="96"/>
      <c r="AB501" s="96"/>
    </row>
    <row r="502" spans="2:28" s="99" customFormat="1" ht="15.75" customHeight="1" x14ac:dyDescent="0.25"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  <c r="AB502" s="96"/>
    </row>
    <row r="503" spans="2:28" s="99" customFormat="1" ht="15.75" customHeight="1" x14ac:dyDescent="0.25"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  <c r="AA503" s="96"/>
      <c r="AB503" s="96"/>
    </row>
    <row r="504" spans="2:28" s="99" customFormat="1" ht="15.75" customHeight="1" x14ac:dyDescent="0.25"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  <c r="AA504" s="96"/>
      <c r="AB504" s="96"/>
    </row>
    <row r="505" spans="2:28" s="99" customFormat="1" ht="15.75" customHeight="1" x14ac:dyDescent="0.25"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  <c r="AA505" s="96"/>
      <c r="AB505" s="96"/>
    </row>
    <row r="506" spans="2:28" s="99" customFormat="1" ht="15.75" customHeight="1" x14ac:dyDescent="0.25"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  <c r="AA506" s="96"/>
      <c r="AB506" s="96"/>
    </row>
    <row r="507" spans="2:28" s="99" customFormat="1" ht="15.75" customHeight="1" x14ac:dyDescent="0.25"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  <c r="AA507" s="96"/>
      <c r="AB507" s="96"/>
    </row>
    <row r="508" spans="2:28" s="99" customFormat="1" ht="15.75" customHeight="1" x14ac:dyDescent="0.25"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  <c r="AA508" s="96"/>
      <c r="AB508" s="96"/>
    </row>
    <row r="509" spans="2:28" s="99" customFormat="1" ht="15.75" customHeight="1" x14ac:dyDescent="0.25"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  <c r="AA509" s="96"/>
      <c r="AB509" s="96"/>
    </row>
    <row r="510" spans="2:28" s="99" customFormat="1" ht="15.75" customHeight="1" x14ac:dyDescent="0.25"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  <c r="AA510" s="96"/>
      <c r="AB510" s="96"/>
    </row>
    <row r="511" spans="2:28" s="99" customFormat="1" ht="15.75" customHeight="1" x14ac:dyDescent="0.25"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  <c r="AA511" s="96"/>
      <c r="AB511" s="96"/>
    </row>
    <row r="512" spans="2:28" s="99" customFormat="1" ht="15.75" customHeight="1" x14ac:dyDescent="0.25"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  <c r="AA512" s="96"/>
      <c r="AB512" s="96"/>
    </row>
    <row r="513" spans="2:28" s="99" customFormat="1" ht="15.75" customHeight="1" x14ac:dyDescent="0.25"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  <c r="AA513" s="96"/>
      <c r="AB513" s="96"/>
    </row>
    <row r="514" spans="2:28" s="99" customFormat="1" ht="15.75" customHeight="1" x14ac:dyDescent="0.25"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  <c r="AA514" s="96"/>
      <c r="AB514" s="96"/>
    </row>
    <row r="515" spans="2:28" s="99" customFormat="1" ht="15.75" customHeight="1" x14ac:dyDescent="0.25"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  <c r="AA515" s="96"/>
      <c r="AB515" s="96"/>
    </row>
    <row r="516" spans="2:28" s="99" customFormat="1" ht="15.75" customHeight="1" x14ac:dyDescent="0.25"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  <c r="AA516" s="96"/>
      <c r="AB516" s="96"/>
    </row>
    <row r="517" spans="2:28" s="99" customFormat="1" ht="15.75" customHeight="1" x14ac:dyDescent="0.25"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  <c r="AA517" s="96"/>
      <c r="AB517" s="96"/>
    </row>
    <row r="518" spans="2:28" s="99" customFormat="1" ht="15.75" customHeight="1" x14ac:dyDescent="0.25"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  <c r="AA518" s="96"/>
      <c r="AB518" s="96"/>
    </row>
    <row r="519" spans="2:28" s="99" customFormat="1" ht="15.75" customHeight="1" x14ac:dyDescent="0.25"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  <c r="AA519" s="96"/>
      <c r="AB519" s="96"/>
    </row>
    <row r="520" spans="2:28" s="99" customFormat="1" ht="15.75" customHeight="1" x14ac:dyDescent="0.25"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  <c r="AA520" s="96"/>
      <c r="AB520" s="96"/>
    </row>
    <row r="521" spans="2:28" s="99" customFormat="1" ht="15.75" customHeight="1" x14ac:dyDescent="0.25"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  <c r="AA521" s="96"/>
      <c r="AB521" s="96"/>
    </row>
    <row r="522" spans="2:28" s="99" customFormat="1" ht="15.75" customHeight="1" x14ac:dyDescent="0.25"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  <c r="AA522" s="96"/>
      <c r="AB522" s="96"/>
    </row>
    <row r="523" spans="2:28" s="99" customFormat="1" ht="15.75" customHeight="1" x14ac:dyDescent="0.25"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  <c r="AA523" s="96"/>
      <c r="AB523" s="96"/>
    </row>
    <row r="524" spans="2:28" s="99" customFormat="1" ht="15.75" customHeight="1" x14ac:dyDescent="0.25"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  <c r="AA524" s="96"/>
      <c r="AB524" s="96"/>
    </row>
    <row r="525" spans="2:28" s="99" customFormat="1" ht="15.75" customHeight="1" x14ac:dyDescent="0.25"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  <c r="AA525" s="96"/>
      <c r="AB525" s="96"/>
    </row>
    <row r="526" spans="2:28" s="99" customFormat="1" ht="15.75" customHeight="1" x14ac:dyDescent="0.25"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  <c r="AA526" s="96"/>
      <c r="AB526" s="96"/>
    </row>
    <row r="527" spans="2:28" s="99" customFormat="1" ht="15.75" customHeight="1" x14ac:dyDescent="0.25"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  <c r="AA527" s="96"/>
      <c r="AB527" s="96"/>
    </row>
    <row r="528" spans="2:28" s="99" customFormat="1" ht="15.75" customHeight="1" x14ac:dyDescent="0.25"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  <c r="AA528" s="96"/>
      <c r="AB528" s="96"/>
    </row>
    <row r="529" spans="2:28" s="99" customFormat="1" ht="15.75" customHeight="1" x14ac:dyDescent="0.25"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  <c r="AA529" s="96"/>
      <c r="AB529" s="96"/>
    </row>
    <row r="530" spans="2:28" s="99" customFormat="1" ht="15.75" customHeight="1" x14ac:dyDescent="0.25"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  <c r="AA530" s="96"/>
      <c r="AB530" s="96"/>
    </row>
    <row r="531" spans="2:28" s="99" customFormat="1" ht="15.75" customHeight="1" x14ac:dyDescent="0.25"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  <c r="AA531" s="96"/>
      <c r="AB531" s="96"/>
    </row>
    <row r="532" spans="2:28" s="99" customFormat="1" ht="15.75" customHeight="1" x14ac:dyDescent="0.25"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  <c r="AA532" s="96"/>
      <c r="AB532" s="96"/>
    </row>
    <row r="533" spans="2:28" s="99" customFormat="1" ht="15.75" customHeight="1" x14ac:dyDescent="0.25"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  <c r="AA533" s="96"/>
      <c r="AB533" s="96"/>
    </row>
    <row r="534" spans="2:28" s="99" customFormat="1" ht="15.75" customHeight="1" x14ac:dyDescent="0.25"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  <c r="AA534" s="96"/>
      <c r="AB534" s="96"/>
    </row>
    <row r="535" spans="2:28" s="99" customFormat="1" ht="15.75" customHeight="1" x14ac:dyDescent="0.25"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  <c r="AA535" s="96"/>
      <c r="AB535" s="96"/>
    </row>
    <row r="536" spans="2:28" s="99" customFormat="1" ht="15.75" customHeight="1" x14ac:dyDescent="0.25"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  <c r="AA536" s="96"/>
      <c r="AB536" s="96"/>
    </row>
    <row r="537" spans="2:28" s="99" customFormat="1" ht="15.75" customHeight="1" x14ac:dyDescent="0.25"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  <c r="AA537" s="96"/>
      <c r="AB537" s="96"/>
    </row>
    <row r="538" spans="2:28" s="99" customFormat="1" ht="15.75" customHeight="1" x14ac:dyDescent="0.25"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  <c r="AA538" s="96"/>
      <c r="AB538" s="96"/>
    </row>
    <row r="539" spans="2:28" s="99" customFormat="1" ht="15.75" customHeight="1" x14ac:dyDescent="0.25"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  <c r="AA539" s="96"/>
      <c r="AB539" s="96"/>
    </row>
    <row r="540" spans="2:28" s="99" customFormat="1" ht="15.75" customHeight="1" x14ac:dyDescent="0.25"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  <c r="AA540" s="96"/>
      <c r="AB540" s="96"/>
    </row>
    <row r="541" spans="2:28" s="99" customFormat="1" ht="15.75" customHeight="1" x14ac:dyDescent="0.25"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  <c r="AA541" s="96"/>
      <c r="AB541" s="96"/>
    </row>
    <row r="542" spans="2:28" s="99" customFormat="1" ht="15.75" customHeight="1" x14ac:dyDescent="0.25"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  <c r="AA542" s="96"/>
      <c r="AB542" s="96"/>
    </row>
    <row r="543" spans="2:28" s="99" customFormat="1" ht="15.75" customHeight="1" x14ac:dyDescent="0.25"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  <c r="AA543" s="96"/>
      <c r="AB543" s="96"/>
    </row>
    <row r="544" spans="2:28" s="99" customFormat="1" ht="15.75" customHeight="1" x14ac:dyDescent="0.25"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  <c r="AA544" s="96"/>
      <c r="AB544" s="96"/>
    </row>
    <row r="545" spans="2:28" s="99" customFormat="1" ht="15.75" customHeight="1" x14ac:dyDescent="0.25"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  <c r="AA545" s="96"/>
      <c r="AB545" s="96"/>
    </row>
    <row r="546" spans="2:28" s="99" customFormat="1" ht="15.75" customHeight="1" x14ac:dyDescent="0.25"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  <c r="AA546" s="96"/>
      <c r="AB546" s="96"/>
    </row>
    <row r="547" spans="2:28" s="99" customFormat="1" ht="15.75" customHeight="1" x14ac:dyDescent="0.25"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  <c r="AA547" s="96"/>
      <c r="AB547" s="96"/>
    </row>
    <row r="548" spans="2:28" s="99" customFormat="1" ht="15.75" customHeight="1" x14ac:dyDescent="0.25"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  <c r="AA548" s="96"/>
      <c r="AB548" s="96"/>
    </row>
    <row r="549" spans="2:28" s="99" customFormat="1" ht="15.75" customHeight="1" x14ac:dyDescent="0.25"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  <c r="AA549" s="96"/>
      <c r="AB549" s="96"/>
    </row>
    <row r="550" spans="2:28" s="99" customFormat="1" ht="15.75" customHeight="1" x14ac:dyDescent="0.25"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  <c r="AA550" s="96"/>
      <c r="AB550" s="96"/>
    </row>
    <row r="551" spans="2:28" s="99" customFormat="1" ht="15.75" customHeight="1" x14ac:dyDescent="0.25"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  <c r="AA551" s="96"/>
      <c r="AB551" s="96"/>
    </row>
    <row r="552" spans="2:28" s="99" customFormat="1" ht="15.75" customHeight="1" x14ac:dyDescent="0.25"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  <c r="AA552" s="96"/>
      <c r="AB552" s="96"/>
    </row>
    <row r="553" spans="2:28" s="99" customFormat="1" ht="15.75" customHeight="1" x14ac:dyDescent="0.25"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  <c r="AA553" s="96"/>
      <c r="AB553" s="96"/>
    </row>
    <row r="554" spans="2:28" s="99" customFormat="1" ht="15.75" customHeight="1" x14ac:dyDescent="0.25"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  <c r="AA554" s="96"/>
      <c r="AB554" s="96"/>
    </row>
    <row r="555" spans="2:28" s="99" customFormat="1" ht="15.75" customHeight="1" x14ac:dyDescent="0.25"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  <c r="AA555" s="96"/>
      <c r="AB555" s="96"/>
    </row>
    <row r="556" spans="2:28" s="99" customFormat="1" ht="15.75" customHeight="1" x14ac:dyDescent="0.25"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  <c r="AA556" s="96"/>
      <c r="AB556" s="96"/>
    </row>
    <row r="557" spans="2:28" s="99" customFormat="1" ht="15.75" customHeight="1" x14ac:dyDescent="0.25"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  <c r="AA557" s="96"/>
      <c r="AB557" s="96"/>
    </row>
    <row r="558" spans="2:28" s="99" customFormat="1" ht="15.75" customHeight="1" x14ac:dyDescent="0.25"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  <c r="AA558" s="96"/>
      <c r="AB558" s="96"/>
    </row>
    <row r="559" spans="2:28" s="99" customFormat="1" ht="15.75" customHeight="1" x14ac:dyDescent="0.25"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  <c r="AA559" s="96"/>
      <c r="AB559" s="96"/>
    </row>
    <row r="560" spans="2:28" s="99" customFormat="1" ht="15.75" customHeight="1" x14ac:dyDescent="0.25"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  <c r="AA560" s="96"/>
      <c r="AB560" s="96"/>
    </row>
    <row r="561" spans="2:28" s="99" customFormat="1" ht="15.75" customHeight="1" x14ac:dyDescent="0.25"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  <c r="AA561" s="96"/>
      <c r="AB561" s="96"/>
    </row>
    <row r="562" spans="2:28" s="99" customFormat="1" ht="15.75" customHeight="1" x14ac:dyDescent="0.25"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  <c r="AA562" s="96"/>
      <c r="AB562" s="96"/>
    </row>
    <row r="563" spans="2:28" s="99" customFormat="1" ht="15.75" customHeight="1" x14ac:dyDescent="0.25"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  <c r="AA563" s="96"/>
      <c r="AB563" s="96"/>
    </row>
    <row r="564" spans="2:28" s="99" customFormat="1" ht="15.75" customHeight="1" x14ac:dyDescent="0.25"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  <c r="AA564" s="96"/>
      <c r="AB564" s="96"/>
    </row>
    <row r="565" spans="2:28" s="99" customFormat="1" ht="15.75" customHeight="1" x14ac:dyDescent="0.25"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  <c r="AA565" s="96"/>
      <c r="AB565" s="96"/>
    </row>
    <row r="566" spans="2:28" s="99" customFormat="1" ht="15.75" customHeight="1" x14ac:dyDescent="0.25"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  <c r="AA566" s="96"/>
      <c r="AB566" s="96"/>
    </row>
    <row r="567" spans="2:28" s="99" customFormat="1" ht="15.75" customHeight="1" x14ac:dyDescent="0.25"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  <c r="AA567" s="96"/>
      <c r="AB567" s="96"/>
    </row>
    <row r="568" spans="2:28" s="99" customFormat="1" ht="15.75" customHeight="1" x14ac:dyDescent="0.25"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  <c r="AA568" s="96"/>
      <c r="AB568" s="96"/>
    </row>
    <row r="569" spans="2:28" s="99" customFormat="1" ht="15.75" customHeight="1" x14ac:dyDescent="0.25"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  <c r="AA569" s="96"/>
      <c r="AB569" s="96"/>
    </row>
    <row r="570" spans="2:28" s="99" customFormat="1" ht="15.75" customHeight="1" x14ac:dyDescent="0.25"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  <c r="AA570" s="96"/>
      <c r="AB570" s="96"/>
    </row>
    <row r="571" spans="2:28" s="99" customFormat="1" ht="15.75" customHeight="1" x14ac:dyDescent="0.25"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  <c r="AA571" s="96"/>
      <c r="AB571" s="96"/>
    </row>
    <row r="572" spans="2:28" s="99" customFormat="1" ht="15.75" customHeight="1" x14ac:dyDescent="0.25"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  <c r="AA572" s="96"/>
      <c r="AB572" s="96"/>
    </row>
    <row r="573" spans="2:28" s="99" customFormat="1" ht="15.75" customHeight="1" x14ac:dyDescent="0.25"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  <c r="AA573" s="96"/>
      <c r="AB573" s="96"/>
    </row>
    <row r="574" spans="2:28" s="99" customFormat="1" ht="15.75" customHeight="1" x14ac:dyDescent="0.25"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  <c r="AA574" s="96"/>
      <c r="AB574" s="96"/>
    </row>
    <row r="575" spans="2:28" s="99" customFormat="1" ht="15.75" customHeight="1" x14ac:dyDescent="0.25"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  <c r="AA575" s="96"/>
      <c r="AB575" s="96"/>
    </row>
    <row r="576" spans="2:28" s="99" customFormat="1" ht="15.75" customHeight="1" x14ac:dyDescent="0.25"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  <c r="AA576" s="96"/>
      <c r="AB576" s="96"/>
    </row>
    <row r="577" spans="2:28" s="99" customFormat="1" ht="15.75" customHeight="1" x14ac:dyDescent="0.25"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  <c r="AA577" s="96"/>
      <c r="AB577" s="96"/>
    </row>
    <row r="578" spans="2:28" s="99" customFormat="1" ht="15.75" customHeight="1" x14ac:dyDescent="0.25"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  <c r="AA578" s="96"/>
      <c r="AB578" s="96"/>
    </row>
    <row r="579" spans="2:28" s="99" customFormat="1" ht="15.75" customHeight="1" x14ac:dyDescent="0.25"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  <c r="AA579" s="96"/>
      <c r="AB579" s="96"/>
    </row>
    <row r="580" spans="2:28" s="99" customFormat="1" ht="15.75" customHeight="1" x14ac:dyDescent="0.25"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  <c r="AA580" s="96"/>
      <c r="AB580" s="96"/>
    </row>
    <row r="581" spans="2:28" s="99" customFormat="1" ht="15.75" customHeight="1" x14ac:dyDescent="0.25"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  <c r="AA581" s="96"/>
      <c r="AB581" s="96"/>
    </row>
    <row r="582" spans="2:28" s="99" customFormat="1" ht="15.75" customHeight="1" x14ac:dyDescent="0.25"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  <c r="AA582" s="96"/>
      <c r="AB582" s="96"/>
    </row>
    <row r="583" spans="2:28" s="99" customFormat="1" ht="15.75" customHeight="1" x14ac:dyDescent="0.25"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  <c r="AA583" s="96"/>
      <c r="AB583" s="96"/>
    </row>
    <row r="584" spans="2:28" s="99" customFormat="1" ht="15.75" customHeight="1" x14ac:dyDescent="0.25"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  <c r="AA584" s="96"/>
      <c r="AB584" s="96"/>
    </row>
    <row r="585" spans="2:28" s="99" customFormat="1" ht="15.75" customHeight="1" x14ac:dyDescent="0.25"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  <c r="AA585" s="96"/>
      <c r="AB585" s="96"/>
    </row>
    <row r="586" spans="2:28" s="99" customFormat="1" ht="15.75" customHeight="1" x14ac:dyDescent="0.25"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  <c r="AA586" s="96"/>
      <c r="AB586" s="96"/>
    </row>
    <row r="587" spans="2:28" s="99" customFormat="1" ht="15.75" customHeight="1" x14ac:dyDescent="0.25"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  <c r="AA587" s="96"/>
      <c r="AB587" s="96"/>
    </row>
    <row r="588" spans="2:28" s="99" customFormat="1" ht="15.75" customHeight="1" x14ac:dyDescent="0.25"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  <c r="AA588" s="96"/>
      <c r="AB588" s="96"/>
    </row>
    <row r="589" spans="2:28" s="99" customFormat="1" ht="15.75" customHeight="1" x14ac:dyDescent="0.25"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  <c r="AA589" s="96"/>
      <c r="AB589" s="96"/>
    </row>
    <row r="590" spans="2:28" s="99" customFormat="1" ht="15.75" customHeight="1" x14ac:dyDescent="0.25"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  <c r="AA590" s="96"/>
      <c r="AB590" s="96"/>
    </row>
    <row r="591" spans="2:28" s="99" customFormat="1" ht="15.75" customHeight="1" x14ac:dyDescent="0.25"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  <c r="AA591" s="96"/>
      <c r="AB591" s="96"/>
    </row>
    <row r="592" spans="2:28" s="99" customFormat="1" ht="15.75" customHeight="1" x14ac:dyDescent="0.25"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  <c r="AA592" s="96"/>
      <c r="AB592" s="96"/>
    </row>
    <row r="593" spans="2:28" s="99" customFormat="1" ht="15.75" customHeight="1" x14ac:dyDescent="0.25"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  <c r="AA593" s="96"/>
      <c r="AB593" s="96"/>
    </row>
    <row r="594" spans="2:28" s="99" customFormat="1" ht="15.75" customHeight="1" x14ac:dyDescent="0.25"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  <c r="AA594" s="96"/>
      <c r="AB594" s="96"/>
    </row>
    <row r="595" spans="2:28" s="99" customFormat="1" ht="15.75" customHeight="1" x14ac:dyDescent="0.25"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  <c r="AA595" s="96"/>
      <c r="AB595" s="96"/>
    </row>
    <row r="596" spans="2:28" s="99" customFormat="1" ht="15.75" customHeight="1" x14ac:dyDescent="0.25"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  <c r="AA596" s="96"/>
      <c r="AB596" s="96"/>
    </row>
    <row r="597" spans="2:28" s="99" customFormat="1" ht="15.75" customHeight="1" x14ac:dyDescent="0.25"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  <c r="AA597" s="96"/>
      <c r="AB597" s="96"/>
    </row>
    <row r="598" spans="2:28" s="99" customFormat="1" ht="15.75" customHeight="1" x14ac:dyDescent="0.25"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  <c r="AA598" s="96"/>
      <c r="AB598" s="96"/>
    </row>
    <row r="599" spans="2:28" s="99" customFormat="1" ht="15.75" customHeight="1" x14ac:dyDescent="0.25"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  <c r="AA599" s="96"/>
      <c r="AB599" s="96"/>
    </row>
    <row r="600" spans="2:28" s="99" customFormat="1" ht="15.75" customHeight="1" x14ac:dyDescent="0.25"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  <c r="AA600" s="96"/>
      <c r="AB600" s="96"/>
    </row>
    <row r="601" spans="2:28" s="99" customFormat="1" ht="15.75" customHeight="1" x14ac:dyDescent="0.25"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  <c r="AA601" s="96"/>
      <c r="AB601" s="96"/>
    </row>
    <row r="602" spans="2:28" s="99" customFormat="1" ht="15.75" customHeight="1" x14ac:dyDescent="0.25"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  <c r="AA602" s="96"/>
      <c r="AB602" s="96"/>
    </row>
    <row r="603" spans="2:28" s="99" customFormat="1" ht="15.75" customHeight="1" x14ac:dyDescent="0.25"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  <c r="AA603" s="96"/>
      <c r="AB603" s="96"/>
    </row>
    <row r="604" spans="2:28" s="99" customFormat="1" ht="15.75" customHeight="1" x14ac:dyDescent="0.25"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  <c r="AA604" s="96"/>
      <c r="AB604" s="96"/>
    </row>
    <row r="605" spans="2:28" s="99" customFormat="1" ht="15.75" customHeight="1" x14ac:dyDescent="0.25"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  <c r="AA605" s="96"/>
      <c r="AB605" s="96"/>
    </row>
    <row r="606" spans="2:28" s="99" customFormat="1" ht="15.75" customHeight="1" x14ac:dyDescent="0.25"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  <c r="AA606" s="96"/>
      <c r="AB606" s="96"/>
    </row>
    <row r="607" spans="2:28" s="99" customFormat="1" ht="15.75" customHeight="1" x14ac:dyDescent="0.25"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  <c r="AA607" s="96"/>
      <c r="AB607" s="96"/>
    </row>
    <row r="608" spans="2:28" s="99" customFormat="1" ht="15.75" customHeight="1" x14ac:dyDescent="0.25"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  <c r="AA608" s="96"/>
      <c r="AB608" s="96"/>
    </row>
    <row r="609" spans="2:28" s="99" customFormat="1" ht="15.75" customHeight="1" x14ac:dyDescent="0.25"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  <c r="AA609" s="96"/>
      <c r="AB609" s="96"/>
    </row>
    <row r="610" spans="2:28" s="99" customFormat="1" ht="15.75" customHeight="1" x14ac:dyDescent="0.25"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  <c r="AA610" s="96"/>
      <c r="AB610" s="96"/>
    </row>
    <row r="611" spans="2:28" s="99" customFormat="1" ht="15.75" customHeight="1" x14ac:dyDescent="0.25"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  <c r="AA611" s="96"/>
      <c r="AB611" s="96"/>
    </row>
    <row r="612" spans="2:28" s="99" customFormat="1" ht="15.75" customHeight="1" x14ac:dyDescent="0.25"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  <c r="AA612" s="96"/>
      <c r="AB612" s="96"/>
    </row>
    <row r="613" spans="2:28" s="99" customFormat="1" ht="15.75" customHeight="1" x14ac:dyDescent="0.25"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  <c r="AA613" s="96"/>
      <c r="AB613" s="96"/>
    </row>
    <row r="614" spans="2:28" s="99" customFormat="1" ht="15.75" customHeight="1" x14ac:dyDescent="0.25"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  <c r="AA614" s="96"/>
      <c r="AB614" s="96"/>
    </row>
    <row r="615" spans="2:28" s="99" customFormat="1" ht="15.75" customHeight="1" x14ac:dyDescent="0.25"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  <c r="AA615" s="96"/>
      <c r="AB615" s="96"/>
    </row>
    <row r="616" spans="2:28" s="99" customFormat="1" ht="15.75" customHeight="1" x14ac:dyDescent="0.25"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  <c r="AA616" s="96"/>
      <c r="AB616" s="96"/>
    </row>
    <row r="617" spans="2:28" s="99" customFormat="1" ht="15.75" customHeight="1" x14ac:dyDescent="0.25"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  <c r="AA617" s="96"/>
      <c r="AB617" s="96"/>
    </row>
    <row r="618" spans="2:28" s="99" customFormat="1" ht="15.75" customHeight="1" x14ac:dyDescent="0.25"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  <c r="AA618" s="96"/>
      <c r="AB618" s="96"/>
    </row>
    <row r="619" spans="2:28" s="99" customFormat="1" ht="15.75" customHeight="1" x14ac:dyDescent="0.25"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  <c r="AA619" s="96"/>
      <c r="AB619" s="96"/>
    </row>
    <row r="620" spans="2:28" s="99" customFormat="1" ht="15.75" customHeight="1" x14ac:dyDescent="0.25"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  <c r="AA620" s="96"/>
      <c r="AB620" s="96"/>
    </row>
    <row r="621" spans="2:28" s="99" customFormat="1" ht="15.75" customHeight="1" x14ac:dyDescent="0.25"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  <c r="AA621" s="96"/>
      <c r="AB621" s="96"/>
    </row>
    <row r="622" spans="2:28" s="99" customFormat="1" ht="15.75" customHeight="1" x14ac:dyDescent="0.25"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  <c r="AA622" s="96"/>
      <c r="AB622" s="96"/>
    </row>
    <row r="623" spans="2:28" s="99" customFormat="1" ht="15.75" customHeight="1" x14ac:dyDescent="0.25"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  <c r="AA623" s="96"/>
      <c r="AB623" s="96"/>
    </row>
    <row r="624" spans="2:28" s="99" customFormat="1" ht="15.75" customHeight="1" x14ac:dyDescent="0.25"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  <c r="AA624" s="96"/>
      <c r="AB624" s="96"/>
    </row>
    <row r="625" spans="2:28" s="99" customFormat="1" ht="15.75" customHeight="1" x14ac:dyDescent="0.25"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  <c r="AA625" s="96"/>
      <c r="AB625" s="96"/>
    </row>
    <row r="626" spans="2:28" s="99" customFormat="1" ht="15.75" customHeight="1" x14ac:dyDescent="0.25"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  <c r="AA626" s="96"/>
      <c r="AB626" s="96"/>
    </row>
    <row r="627" spans="2:28" s="99" customFormat="1" ht="15.75" customHeight="1" x14ac:dyDescent="0.25"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  <c r="AA627" s="96"/>
      <c r="AB627" s="96"/>
    </row>
    <row r="628" spans="2:28" s="99" customFormat="1" ht="15.75" customHeight="1" x14ac:dyDescent="0.25"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  <c r="AA628" s="96"/>
      <c r="AB628" s="96"/>
    </row>
    <row r="629" spans="2:28" s="99" customFormat="1" ht="15.75" customHeight="1" x14ac:dyDescent="0.25"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  <c r="AA629" s="96"/>
      <c r="AB629" s="96"/>
    </row>
    <row r="630" spans="2:28" s="99" customFormat="1" ht="15.75" customHeight="1" x14ac:dyDescent="0.25"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  <c r="AA630" s="96"/>
      <c r="AB630" s="96"/>
    </row>
    <row r="631" spans="2:28" s="99" customFormat="1" ht="15.75" customHeight="1" x14ac:dyDescent="0.25"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  <c r="AA631" s="96"/>
      <c r="AB631" s="96"/>
    </row>
    <row r="632" spans="2:28" s="99" customFormat="1" ht="15.75" customHeight="1" x14ac:dyDescent="0.25"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  <c r="AA632" s="96"/>
      <c r="AB632" s="96"/>
    </row>
    <row r="633" spans="2:28" s="99" customFormat="1" ht="15.75" customHeight="1" x14ac:dyDescent="0.25"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  <c r="AA633" s="96"/>
      <c r="AB633" s="96"/>
    </row>
    <row r="634" spans="2:28" s="99" customFormat="1" ht="15.75" customHeight="1" x14ac:dyDescent="0.25"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  <c r="AA634" s="96"/>
      <c r="AB634" s="96"/>
    </row>
    <row r="635" spans="2:28" s="99" customFormat="1" ht="15.75" customHeight="1" x14ac:dyDescent="0.25"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  <c r="AA635" s="96"/>
      <c r="AB635" s="96"/>
    </row>
    <row r="636" spans="2:28" s="99" customFormat="1" ht="15.75" customHeight="1" x14ac:dyDescent="0.25"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  <c r="AA636" s="96"/>
      <c r="AB636" s="96"/>
    </row>
    <row r="637" spans="2:28" s="99" customFormat="1" ht="15.75" customHeight="1" x14ac:dyDescent="0.25"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  <c r="AA637" s="96"/>
      <c r="AB637" s="96"/>
    </row>
    <row r="638" spans="2:28" s="99" customFormat="1" ht="15.75" customHeight="1" x14ac:dyDescent="0.25"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  <c r="AA638" s="96"/>
      <c r="AB638" s="96"/>
    </row>
    <row r="639" spans="2:28" s="99" customFormat="1" ht="15.75" customHeight="1" x14ac:dyDescent="0.25"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  <c r="AA639" s="96"/>
      <c r="AB639" s="96"/>
    </row>
    <row r="640" spans="2:28" s="99" customFormat="1" ht="15.75" customHeight="1" x14ac:dyDescent="0.25"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  <c r="AA640" s="96"/>
      <c r="AB640" s="96"/>
    </row>
    <row r="641" spans="2:28" s="99" customFormat="1" ht="15.75" customHeight="1" x14ac:dyDescent="0.25"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  <c r="AA641" s="96"/>
      <c r="AB641" s="96"/>
    </row>
    <row r="642" spans="2:28" s="99" customFormat="1" ht="15.75" customHeight="1" x14ac:dyDescent="0.25"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  <c r="AA642" s="96"/>
      <c r="AB642" s="96"/>
    </row>
    <row r="643" spans="2:28" s="99" customFormat="1" ht="15.75" customHeight="1" x14ac:dyDescent="0.25"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  <c r="AA643" s="96"/>
      <c r="AB643" s="96"/>
    </row>
    <row r="644" spans="2:28" s="99" customFormat="1" ht="15.75" customHeight="1" x14ac:dyDescent="0.25"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  <c r="AA644" s="96"/>
      <c r="AB644" s="96"/>
    </row>
    <row r="645" spans="2:28" s="99" customFormat="1" ht="15.75" customHeight="1" x14ac:dyDescent="0.25"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  <c r="AA645" s="96"/>
      <c r="AB645" s="96"/>
    </row>
    <row r="646" spans="2:28" s="99" customFormat="1" ht="15.75" customHeight="1" x14ac:dyDescent="0.25"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  <c r="AA646" s="96"/>
      <c r="AB646" s="96"/>
    </row>
    <row r="647" spans="2:28" s="99" customFormat="1" ht="15.75" customHeight="1" x14ac:dyDescent="0.25"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  <c r="AA647" s="96"/>
      <c r="AB647" s="96"/>
    </row>
    <row r="648" spans="2:28" s="99" customFormat="1" ht="15.75" customHeight="1" x14ac:dyDescent="0.25"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  <c r="AA648" s="96"/>
      <c r="AB648" s="96"/>
    </row>
    <row r="649" spans="2:28" s="99" customFormat="1" ht="15.75" customHeight="1" x14ac:dyDescent="0.25"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  <c r="AA649" s="96"/>
      <c r="AB649" s="96"/>
    </row>
    <row r="650" spans="2:28" s="99" customFormat="1" ht="15.75" customHeight="1" x14ac:dyDescent="0.25"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  <c r="AA650" s="96"/>
      <c r="AB650" s="96"/>
    </row>
    <row r="651" spans="2:28" s="99" customFormat="1" ht="15.75" customHeight="1" x14ac:dyDescent="0.25"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  <c r="AA651" s="96"/>
      <c r="AB651" s="96"/>
    </row>
    <row r="652" spans="2:28" s="99" customFormat="1" ht="15.75" customHeight="1" x14ac:dyDescent="0.25"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  <c r="AA652" s="96"/>
      <c r="AB652" s="96"/>
    </row>
    <row r="653" spans="2:28" s="99" customFormat="1" ht="15.75" customHeight="1" x14ac:dyDescent="0.25"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  <c r="AA653" s="96"/>
      <c r="AB653" s="96"/>
    </row>
    <row r="654" spans="2:28" s="99" customFormat="1" ht="15.75" customHeight="1" x14ac:dyDescent="0.25"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  <c r="AA654" s="96"/>
      <c r="AB654" s="96"/>
    </row>
    <row r="655" spans="2:28" s="99" customFormat="1" ht="15.75" customHeight="1" x14ac:dyDescent="0.25"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  <c r="AA655" s="96"/>
      <c r="AB655" s="96"/>
    </row>
    <row r="656" spans="2:28" s="99" customFormat="1" ht="15.75" customHeight="1" x14ac:dyDescent="0.25"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  <c r="AA656" s="96"/>
      <c r="AB656" s="96"/>
    </row>
    <row r="657" spans="2:28" s="99" customFormat="1" ht="15.75" customHeight="1" x14ac:dyDescent="0.25"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  <c r="AA657" s="96"/>
      <c r="AB657" s="96"/>
    </row>
    <row r="658" spans="2:28" s="99" customFormat="1" ht="15.75" customHeight="1" x14ac:dyDescent="0.25"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  <c r="AA658" s="96"/>
      <c r="AB658" s="96"/>
    </row>
    <row r="659" spans="2:28" s="99" customFormat="1" ht="15.75" customHeight="1" x14ac:dyDescent="0.25"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  <c r="AA659" s="96"/>
      <c r="AB659" s="96"/>
    </row>
    <row r="660" spans="2:28" s="99" customFormat="1" ht="15.75" customHeight="1" x14ac:dyDescent="0.25"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  <c r="AA660" s="96"/>
      <c r="AB660" s="96"/>
    </row>
    <row r="661" spans="2:28" s="99" customFormat="1" ht="15.75" customHeight="1" x14ac:dyDescent="0.25"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  <c r="AA661" s="96"/>
      <c r="AB661" s="96"/>
    </row>
    <row r="662" spans="2:28" s="99" customFormat="1" ht="15.75" customHeight="1" x14ac:dyDescent="0.25"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  <c r="AA662" s="96"/>
      <c r="AB662" s="96"/>
    </row>
    <row r="663" spans="2:28" s="99" customFormat="1" ht="15.75" customHeight="1" x14ac:dyDescent="0.25"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  <c r="AA663" s="96"/>
      <c r="AB663" s="96"/>
    </row>
    <row r="664" spans="2:28" s="99" customFormat="1" ht="15.75" customHeight="1" x14ac:dyDescent="0.25"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  <c r="AA664" s="96"/>
      <c r="AB664" s="96"/>
    </row>
    <row r="665" spans="2:28" s="99" customFormat="1" ht="15.75" customHeight="1" x14ac:dyDescent="0.25"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  <c r="AA665" s="96"/>
      <c r="AB665" s="96"/>
    </row>
    <row r="666" spans="2:28" s="99" customFormat="1" ht="15.75" customHeight="1" x14ac:dyDescent="0.25"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  <c r="AA666" s="96"/>
      <c r="AB666" s="96"/>
    </row>
    <row r="667" spans="2:28" s="99" customFormat="1" ht="15.75" customHeight="1" x14ac:dyDescent="0.25"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  <c r="AA667" s="96"/>
      <c r="AB667" s="96"/>
    </row>
    <row r="668" spans="2:28" s="99" customFormat="1" ht="15.75" customHeight="1" x14ac:dyDescent="0.25"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  <c r="AA668" s="96"/>
      <c r="AB668" s="96"/>
    </row>
    <row r="669" spans="2:28" s="99" customFormat="1" ht="15.75" customHeight="1" x14ac:dyDescent="0.25"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  <c r="AA669" s="96"/>
      <c r="AB669" s="96"/>
    </row>
    <row r="670" spans="2:28" s="99" customFormat="1" ht="15.75" customHeight="1" x14ac:dyDescent="0.25"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  <c r="AA670" s="96"/>
      <c r="AB670" s="96"/>
    </row>
    <row r="671" spans="2:28" s="99" customFormat="1" ht="15.75" customHeight="1" x14ac:dyDescent="0.25"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  <c r="AA671" s="96"/>
      <c r="AB671" s="96"/>
    </row>
    <row r="672" spans="2:28" s="99" customFormat="1" ht="15.75" customHeight="1" x14ac:dyDescent="0.25"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  <c r="AA672" s="96"/>
      <c r="AB672" s="96"/>
    </row>
    <row r="673" spans="2:28" s="99" customFormat="1" ht="15.75" customHeight="1" x14ac:dyDescent="0.25"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  <c r="AA673" s="96"/>
      <c r="AB673" s="96"/>
    </row>
    <row r="674" spans="2:28" s="99" customFormat="1" ht="15.75" customHeight="1" x14ac:dyDescent="0.25"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  <c r="AA674" s="96"/>
      <c r="AB674" s="96"/>
    </row>
    <row r="675" spans="2:28" s="99" customFormat="1" ht="15.75" customHeight="1" x14ac:dyDescent="0.25"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  <c r="AA675" s="96"/>
      <c r="AB675" s="96"/>
    </row>
    <row r="676" spans="2:28" s="99" customFormat="1" ht="15.75" customHeight="1" x14ac:dyDescent="0.25"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  <c r="AA676" s="96"/>
      <c r="AB676" s="96"/>
    </row>
    <row r="677" spans="2:28" s="99" customFormat="1" ht="15.75" customHeight="1" x14ac:dyDescent="0.25"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  <c r="AA677" s="96"/>
      <c r="AB677" s="96"/>
    </row>
    <row r="678" spans="2:28" s="99" customFormat="1" ht="15.75" customHeight="1" x14ac:dyDescent="0.25"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  <c r="AA678" s="96"/>
      <c r="AB678" s="96"/>
    </row>
    <row r="679" spans="2:28" s="99" customFormat="1" ht="15.75" customHeight="1" x14ac:dyDescent="0.25"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  <c r="AA679" s="96"/>
      <c r="AB679" s="96"/>
    </row>
    <row r="680" spans="2:28" s="99" customFormat="1" ht="15.75" customHeight="1" x14ac:dyDescent="0.25"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  <c r="AA680" s="96"/>
      <c r="AB680" s="96"/>
    </row>
    <row r="681" spans="2:28" s="99" customFormat="1" ht="15.75" customHeight="1" x14ac:dyDescent="0.25"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  <c r="AA681" s="96"/>
      <c r="AB681" s="96"/>
    </row>
    <row r="682" spans="2:28" s="99" customFormat="1" ht="15.75" customHeight="1" x14ac:dyDescent="0.25"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  <c r="AA682" s="96"/>
      <c r="AB682" s="96"/>
    </row>
    <row r="683" spans="2:28" s="99" customFormat="1" ht="15.75" customHeight="1" x14ac:dyDescent="0.25"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  <c r="AA683" s="96"/>
      <c r="AB683" s="96"/>
    </row>
    <row r="684" spans="2:28" s="99" customFormat="1" ht="15.75" customHeight="1" x14ac:dyDescent="0.25"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  <c r="AA684" s="96"/>
      <c r="AB684" s="96"/>
    </row>
    <row r="685" spans="2:28" s="99" customFormat="1" ht="15.75" customHeight="1" x14ac:dyDescent="0.25"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  <c r="AA685" s="96"/>
      <c r="AB685" s="96"/>
    </row>
    <row r="686" spans="2:28" s="99" customFormat="1" ht="15.75" customHeight="1" x14ac:dyDescent="0.25"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  <c r="AA686" s="96"/>
      <c r="AB686" s="96"/>
    </row>
    <row r="687" spans="2:28" s="99" customFormat="1" ht="15.75" customHeight="1" x14ac:dyDescent="0.25"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  <c r="AA687" s="96"/>
      <c r="AB687" s="96"/>
    </row>
    <row r="688" spans="2:28" s="99" customFormat="1" ht="15.75" customHeight="1" x14ac:dyDescent="0.25"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  <c r="AA688" s="96"/>
      <c r="AB688" s="96"/>
    </row>
    <row r="689" spans="2:28" s="99" customFormat="1" ht="15.75" customHeight="1" x14ac:dyDescent="0.25"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  <c r="AA689" s="96"/>
      <c r="AB689" s="96"/>
    </row>
    <row r="690" spans="2:28" s="99" customFormat="1" ht="15.75" customHeight="1" x14ac:dyDescent="0.25"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  <c r="AA690" s="96"/>
      <c r="AB690" s="96"/>
    </row>
    <row r="691" spans="2:28" s="99" customFormat="1" ht="15.75" customHeight="1" x14ac:dyDescent="0.25"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  <c r="AA691" s="96"/>
      <c r="AB691" s="96"/>
    </row>
    <row r="692" spans="2:28" s="99" customFormat="1" ht="15.75" customHeight="1" x14ac:dyDescent="0.25"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  <c r="AA692" s="96"/>
      <c r="AB692" s="96"/>
    </row>
    <row r="693" spans="2:28" s="99" customFormat="1" ht="15.75" customHeight="1" x14ac:dyDescent="0.25"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  <c r="AA693" s="96"/>
      <c r="AB693" s="96"/>
    </row>
    <row r="694" spans="2:28" s="99" customFormat="1" ht="15.75" customHeight="1" x14ac:dyDescent="0.25"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  <c r="AA694" s="96"/>
      <c r="AB694" s="96"/>
    </row>
    <row r="695" spans="2:28" s="99" customFormat="1" ht="15.75" customHeight="1" x14ac:dyDescent="0.25"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  <c r="AA695" s="96"/>
      <c r="AB695" s="96"/>
    </row>
    <row r="696" spans="2:28" s="99" customFormat="1" ht="15.75" customHeight="1" x14ac:dyDescent="0.25"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  <c r="AA696" s="96"/>
      <c r="AB696" s="96"/>
    </row>
    <row r="697" spans="2:28" s="99" customFormat="1" ht="15.75" customHeight="1" x14ac:dyDescent="0.25"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  <c r="AA697" s="96"/>
      <c r="AB697" s="96"/>
    </row>
    <row r="698" spans="2:28" s="99" customFormat="1" ht="15.75" customHeight="1" x14ac:dyDescent="0.25"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  <c r="AA698" s="96"/>
      <c r="AB698" s="96"/>
    </row>
    <row r="699" spans="2:28" s="99" customFormat="1" ht="15.75" customHeight="1" x14ac:dyDescent="0.25"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  <c r="AA699" s="96"/>
      <c r="AB699" s="96"/>
    </row>
    <row r="700" spans="2:28" s="99" customFormat="1" ht="15.75" customHeight="1" x14ac:dyDescent="0.25"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  <c r="AA700" s="96"/>
      <c r="AB700" s="96"/>
    </row>
    <row r="701" spans="2:28" s="99" customFormat="1" ht="15.75" customHeight="1" x14ac:dyDescent="0.25"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  <c r="AA701" s="96"/>
      <c r="AB701" s="96"/>
    </row>
    <row r="702" spans="2:28" s="99" customFormat="1" ht="15.75" customHeight="1" x14ac:dyDescent="0.25"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  <c r="AA702" s="96"/>
      <c r="AB702" s="96"/>
    </row>
    <row r="703" spans="2:28" s="99" customFormat="1" ht="15.75" customHeight="1" x14ac:dyDescent="0.25"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  <c r="AA703" s="96"/>
      <c r="AB703" s="96"/>
    </row>
    <row r="704" spans="2:28" s="99" customFormat="1" ht="15.75" customHeight="1" x14ac:dyDescent="0.25"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  <c r="AA704" s="96"/>
      <c r="AB704" s="96"/>
    </row>
    <row r="705" spans="2:28" s="99" customFormat="1" ht="15.75" customHeight="1" x14ac:dyDescent="0.25"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  <c r="AA705" s="96"/>
      <c r="AB705" s="96"/>
    </row>
    <row r="706" spans="2:28" s="99" customFormat="1" ht="15.75" customHeight="1" x14ac:dyDescent="0.25"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  <c r="AA706" s="96"/>
      <c r="AB706" s="96"/>
    </row>
    <row r="707" spans="2:28" s="99" customFormat="1" ht="15.75" customHeight="1" x14ac:dyDescent="0.25"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  <c r="AA707" s="96"/>
      <c r="AB707" s="96"/>
    </row>
    <row r="708" spans="2:28" s="99" customFormat="1" ht="15.75" customHeight="1" x14ac:dyDescent="0.25"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  <c r="AA708" s="96"/>
      <c r="AB708" s="96"/>
    </row>
    <row r="709" spans="2:28" s="99" customFormat="1" ht="15.75" customHeight="1" x14ac:dyDescent="0.25"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  <c r="AA709" s="96"/>
      <c r="AB709" s="96"/>
    </row>
    <row r="710" spans="2:28" s="99" customFormat="1" ht="15.75" customHeight="1" x14ac:dyDescent="0.25"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  <c r="AA710" s="96"/>
      <c r="AB710" s="96"/>
    </row>
    <row r="711" spans="2:28" s="99" customFormat="1" ht="15.75" customHeight="1" x14ac:dyDescent="0.25"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  <c r="AA711" s="96"/>
      <c r="AB711" s="96"/>
    </row>
    <row r="712" spans="2:28" s="99" customFormat="1" ht="15.75" customHeight="1" x14ac:dyDescent="0.25"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  <c r="AA712" s="96"/>
      <c r="AB712" s="96"/>
    </row>
    <row r="713" spans="2:28" s="99" customFormat="1" ht="15.75" customHeight="1" x14ac:dyDescent="0.25"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  <c r="AA713" s="96"/>
      <c r="AB713" s="96"/>
    </row>
    <row r="714" spans="2:28" s="99" customFormat="1" ht="15.75" customHeight="1" x14ac:dyDescent="0.25"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  <c r="AA714" s="96"/>
      <c r="AB714" s="96"/>
    </row>
    <row r="715" spans="2:28" s="99" customFormat="1" ht="15.75" customHeight="1" x14ac:dyDescent="0.25"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  <c r="AA715" s="96"/>
      <c r="AB715" s="96"/>
    </row>
    <row r="716" spans="2:28" s="99" customFormat="1" ht="15.75" customHeight="1" x14ac:dyDescent="0.25"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  <c r="AA716" s="96"/>
      <c r="AB716" s="96"/>
    </row>
    <row r="717" spans="2:28" s="99" customFormat="1" ht="15.75" customHeight="1" x14ac:dyDescent="0.25"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  <c r="AA717" s="96"/>
      <c r="AB717" s="96"/>
    </row>
    <row r="718" spans="2:28" s="99" customFormat="1" ht="15.75" customHeight="1" x14ac:dyDescent="0.25"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  <c r="AA718" s="96"/>
      <c r="AB718" s="96"/>
    </row>
    <row r="719" spans="2:28" s="99" customFormat="1" ht="15.75" customHeight="1" x14ac:dyDescent="0.25"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  <c r="AA719" s="96"/>
      <c r="AB719" s="96"/>
    </row>
    <row r="720" spans="2:28" s="99" customFormat="1" ht="15.75" customHeight="1" x14ac:dyDescent="0.25"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  <c r="AA720" s="96"/>
      <c r="AB720" s="96"/>
    </row>
    <row r="721" spans="2:28" s="99" customFormat="1" ht="15.75" customHeight="1" x14ac:dyDescent="0.25"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  <c r="AA721" s="96"/>
      <c r="AB721" s="96"/>
    </row>
    <row r="722" spans="2:28" s="99" customFormat="1" ht="15.75" customHeight="1" x14ac:dyDescent="0.25"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  <c r="AA722" s="96"/>
      <c r="AB722" s="96"/>
    </row>
    <row r="723" spans="2:28" s="99" customFormat="1" ht="15.75" customHeight="1" x14ac:dyDescent="0.25"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  <c r="AA723" s="96"/>
      <c r="AB723" s="96"/>
    </row>
    <row r="724" spans="2:28" s="99" customFormat="1" ht="15.75" customHeight="1" x14ac:dyDescent="0.25"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  <c r="AA724" s="96"/>
      <c r="AB724" s="96"/>
    </row>
    <row r="725" spans="2:28" s="99" customFormat="1" ht="15.75" customHeight="1" x14ac:dyDescent="0.25"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  <c r="AA725" s="96"/>
      <c r="AB725" s="96"/>
    </row>
    <row r="726" spans="2:28" s="99" customFormat="1" ht="15.75" customHeight="1" x14ac:dyDescent="0.25"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  <c r="AA726" s="96"/>
      <c r="AB726" s="96"/>
    </row>
    <row r="727" spans="2:28" s="99" customFormat="1" ht="15.75" customHeight="1" x14ac:dyDescent="0.25"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  <c r="AA727" s="96"/>
      <c r="AB727" s="96"/>
    </row>
    <row r="728" spans="2:28" s="99" customFormat="1" ht="15.75" customHeight="1" x14ac:dyDescent="0.25"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  <c r="AA728" s="96"/>
      <c r="AB728" s="96"/>
    </row>
    <row r="729" spans="2:28" s="99" customFormat="1" ht="15.75" customHeight="1" x14ac:dyDescent="0.25"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  <c r="AA729" s="96"/>
      <c r="AB729" s="96"/>
    </row>
    <row r="730" spans="2:28" s="99" customFormat="1" ht="15.75" customHeight="1" x14ac:dyDescent="0.25"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  <c r="AA730" s="96"/>
      <c r="AB730" s="96"/>
    </row>
    <row r="731" spans="2:28" s="99" customFormat="1" ht="15.75" customHeight="1" x14ac:dyDescent="0.25"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  <c r="AA731" s="96"/>
      <c r="AB731" s="96"/>
    </row>
    <row r="732" spans="2:28" s="99" customFormat="1" ht="15.75" customHeight="1" x14ac:dyDescent="0.25"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  <c r="AA732" s="96"/>
      <c r="AB732" s="96"/>
    </row>
    <row r="733" spans="2:28" s="99" customFormat="1" ht="15.75" customHeight="1" x14ac:dyDescent="0.25"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  <c r="AA733" s="96"/>
      <c r="AB733" s="96"/>
    </row>
    <row r="734" spans="2:28" s="99" customFormat="1" ht="15.75" customHeight="1" x14ac:dyDescent="0.25"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  <c r="AA734" s="96"/>
      <c r="AB734" s="96"/>
    </row>
    <row r="735" spans="2:28" s="99" customFormat="1" ht="15.75" customHeight="1" x14ac:dyDescent="0.25"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  <c r="AA735" s="96"/>
      <c r="AB735" s="96"/>
    </row>
    <row r="736" spans="2:28" s="99" customFormat="1" ht="15.75" customHeight="1" x14ac:dyDescent="0.25"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  <c r="AA736" s="96"/>
      <c r="AB736" s="96"/>
    </row>
    <row r="737" spans="2:28" s="99" customFormat="1" ht="15.75" customHeight="1" x14ac:dyDescent="0.25"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  <c r="AA737" s="96"/>
      <c r="AB737" s="96"/>
    </row>
    <row r="738" spans="2:28" s="99" customFormat="1" ht="15.75" customHeight="1" x14ac:dyDescent="0.25"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  <c r="AA738" s="96"/>
      <c r="AB738" s="96"/>
    </row>
    <row r="739" spans="2:28" s="99" customFormat="1" ht="15.75" customHeight="1" x14ac:dyDescent="0.25"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  <c r="AA739" s="96"/>
      <c r="AB739" s="96"/>
    </row>
    <row r="740" spans="2:28" s="99" customFormat="1" ht="15.75" customHeight="1" x14ac:dyDescent="0.25"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  <c r="AA740" s="96"/>
      <c r="AB740" s="96"/>
    </row>
    <row r="741" spans="2:28" s="99" customFormat="1" ht="15.75" customHeight="1" x14ac:dyDescent="0.25"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  <c r="AA741" s="96"/>
      <c r="AB741" s="96"/>
    </row>
    <row r="742" spans="2:28" s="99" customFormat="1" ht="15.75" customHeight="1" x14ac:dyDescent="0.25"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  <c r="AA742" s="96"/>
      <c r="AB742" s="96"/>
    </row>
    <row r="743" spans="2:28" s="99" customFormat="1" ht="15.75" customHeight="1" x14ac:dyDescent="0.25"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  <c r="AA743" s="96"/>
      <c r="AB743" s="96"/>
    </row>
    <row r="744" spans="2:28" s="99" customFormat="1" ht="15.75" customHeight="1" x14ac:dyDescent="0.25"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  <c r="AA744" s="96"/>
      <c r="AB744" s="96"/>
    </row>
    <row r="745" spans="2:28" s="99" customFormat="1" ht="15.75" customHeight="1" x14ac:dyDescent="0.25"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  <c r="AA745" s="96"/>
      <c r="AB745" s="96"/>
    </row>
    <row r="746" spans="2:28" s="99" customFormat="1" ht="15.75" customHeight="1" x14ac:dyDescent="0.25"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  <c r="AA746" s="96"/>
      <c r="AB746" s="96"/>
    </row>
    <row r="747" spans="2:28" s="99" customFormat="1" ht="15.75" customHeight="1" x14ac:dyDescent="0.25"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  <c r="AA747" s="96"/>
      <c r="AB747" s="96"/>
    </row>
    <row r="748" spans="2:28" s="99" customFormat="1" ht="15.75" customHeight="1" x14ac:dyDescent="0.25"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  <c r="AA748" s="96"/>
      <c r="AB748" s="96"/>
    </row>
    <row r="749" spans="2:28" s="99" customFormat="1" ht="15.75" customHeight="1" x14ac:dyDescent="0.25"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  <c r="AA749" s="96"/>
      <c r="AB749" s="96"/>
    </row>
    <row r="750" spans="2:28" s="99" customFormat="1" ht="15.75" customHeight="1" x14ac:dyDescent="0.25"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  <c r="AA750" s="96"/>
      <c r="AB750" s="96"/>
    </row>
    <row r="751" spans="2:28" s="99" customFormat="1" ht="15.75" customHeight="1" x14ac:dyDescent="0.25"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  <c r="AA751" s="96"/>
      <c r="AB751" s="96"/>
    </row>
    <row r="752" spans="2:28" s="99" customFormat="1" ht="15.75" customHeight="1" x14ac:dyDescent="0.25"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  <c r="AA752" s="96"/>
      <c r="AB752" s="96"/>
    </row>
    <row r="753" spans="2:28" s="99" customFormat="1" ht="15.75" customHeight="1" x14ac:dyDescent="0.25"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  <c r="AA753" s="96"/>
      <c r="AB753" s="96"/>
    </row>
    <row r="754" spans="2:28" s="99" customFormat="1" ht="15.75" customHeight="1" x14ac:dyDescent="0.25"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  <c r="AA754" s="96"/>
      <c r="AB754" s="96"/>
    </row>
    <row r="755" spans="2:28" s="99" customFormat="1" ht="15.75" customHeight="1" x14ac:dyDescent="0.25"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  <c r="AA755" s="96"/>
      <c r="AB755" s="96"/>
    </row>
    <row r="756" spans="2:28" s="99" customFormat="1" ht="15.75" customHeight="1" x14ac:dyDescent="0.25"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  <c r="AA756" s="96"/>
      <c r="AB756" s="96"/>
    </row>
    <row r="757" spans="2:28" s="99" customFormat="1" ht="15.75" customHeight="1" x14ac:dyDescent="0.25"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  <c r="AA757" s="96"/>
      <c r="AB757" s="96"/>
    </row>
    <row r="758" spans="2:28" s="99" customFormat="1" ht="15.75" customHeight="1" x14ac:dyDescent="0.25"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  <c r="AA758" s="96"/>
      <c r="AB758" s="96"/>
    </row>
    <row r="759" spans="2:28" s="99" customFormat="1" ht="15.75" customHeight="1" x14ac:dyDescent="0.25"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  <c r="AA759" s="96"/>
      <c r="AB759" s="96"/>
    </row>
    <row r="760" spans="2:28" s="99" customFormat="1" ht="15.75" customHeight="1" x14ac:dyDescent="0.25"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  <c r="AA760" s="96"/>
      <c r="AB760" s="96"/>
    </row>
    <row r="761" spans="2:28" s="99" customFormat="1" ht="15.75" customHeight="1" x14ac:dyDescent="0.25"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  <c r="AA761" s="96"/>
      <c r="AB761" s="96"/>
    </row>
    <row r="762" spans="2:28" s="99" customFormat="1" ht="15.75" customHeight="1" x14ac:dyDescent="0.25"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  <c r="AA762" s="96"/>
      <c r="AB762" s="96"/>
    </row>
    <row r="763" spans="2:28" s="99" customFormat="1" ht="15.75" customHeight="1" x14ac:dyDescent="0.25"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  <c r="AA763" s="96"/>
      <c r="AB763" s="96"/>
    </row>
    <row r="764" spans="2:28" s="99" customFormat="1" ht="15.75" customHeight="1" x14ac:dyDescent="0.25"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  <c r="AA764" s="96"/>
      <c r="AB764" s="96"/>
    </row>
    <row r="765" spans="2:28" s="99" customFormat="1" ht="15.75" customHeight="1" x14ac:dyDescent="0.25"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  <c r="AA765" s="96"/>
      <c r="AB765" s="96"/>
    </row>
    <row r="766" spans="2:28" s="99" customFormat="1" ht="15.75" customHeight="1" x14ac:dyDescent="0.25"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  <c r="AA766" s="96"/>
      <c r="AB766" s="96"/>
    </row>
    <row r="767" spans="2:28" s="99" customFormat="1" ht="15.75" customHeight="1" x14ac:dyDescent="0.25"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  <c r="AA767" s="96"/>
      <c r="AB767" s="96"/>
    </row>
    <row r="768" spans="2:28" s="99" customFormat="1" ht="15.75" customHeight="1" x14ac:dyDescent="0.25"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  <c r="AA768" s="96"/>
      <c r="AB768" s="96"/>
    </row>
    <row r="769" spans="2:28" s="99" customFormat="1" ht="15.75" customHeight="1" x14ac:dyDescent="0.25"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  <c r="AA769" s="96"/>
      <c r="AB769" s="96"/>
    </row>
    <row r="770" spans="2:28" s="99" customFormat="1" ht="15.75" customHeight="1" x14ac:dyDescent="0.25"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  <c r="AA770" s="96"/>
      <c r="AB770" s="96"/>
    </row>
    <row r="771" spans="2:28" s="99" customFormat="1" ht="15.75" customHeight="1" x14ac:dyDescent="0.25"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  <c r="AA771" s="96"/>
      <c r="AB771" s="96"/>
    </row>
    <row r="772" spans="2:28" s="99" customFormat="1" ht="15.75" customHeight="1" x14ac:dyDescent="0.25"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  <c r="AA772" s="96"/>
      <c r="AB772" s="96"/>
    </row>
    <row r="773" spans="2:28" s="99" customFormat="1" ht="15.75" customHeight="1" x14ac:dyDescent="0.25"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  <c r="AA773" s="96"/>
      <c r="AB773" s="96"/>
    </row>
    <row r="774" spans="2:28" s="99" customFormat="1" ht="15.75" customHeight="1" x14ac:dyDescent="0.25"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  <c r="AA774" s="96"/>
      <c r="AB774" s="96"/>
    </row>
    <row r="775" spans="2:28" s="99" customFormat="1" ht="15.75" customHeight="1" x14ac:dyDescent="0.25"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  <c r="AA775" s="96"/>
      <c r="AB775" s="96"/>
    </row>
    <row r="776" spans="2:28" s="99" customFormat="1" ht="15.75" customHeight="1" x14ac:dyDescent="0.25"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  <c r="AA776" s="96"/>
      <c r="AB776" s="96"/>
    </row>
    <row r="777" spans="2:28" s="99" customFormat="1" ht="15.75" customHeight="1" x14ac:dyDescent="0.25"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  <c r="AA777" s="96"/>
      <c r="AB777" s="96"/>
    </row>
    <row r="778" spans="2:28" s="99" customFormat="1" ht="15.75" customHeight="1" x14ac:dyDescent="0.25"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  <c r="AA778" s="96"/>
      <c r="AB778" s="96"/>
    </row>
    <row r="779" spans="2:28" s="99" customFormat="1" ht="15.75" customHeight="1" x14ac:dyDescent="0.25"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  <c r="AA779" s="96"/>
      <c r="AB779" s="96"/>
    </row>
    <row r="780" spans="2:28" s="99" customFormat="1" ht="15.75" customHeight="1" x14ac:dyDescent="0.25"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  <c r="AA780" s="96"/>
      <c r="AB780" s="96"/>
    </row>
    <row r="781" spans="2:28" s="99" customFormat="1" ht="15.75" customHeight="1" x14ac:dyDescent="0.25"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  <c r="AA781" s="96"/>
      <c r="AB781" s="96"/>
    </row>
    <row r="782" spans="2:28" s="99" customFormat="1" ht="15.75" customHeight="1" x14ac:dyDescent="0.25"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  <c r="AA782" s="96"/>
      <c r="AB782" s="96"/>
    </row>
    <row r="783" spans="2:28" s="99" customFormat="1" ht="15.75" customHeight="1" x14ac:dyDescent="0.25"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  <c r="AA783" s="96"/>
      <c r="AB783" s="96"/>
    </row>
    <row r="784" spans="2:28" s="99" customFormat="1" ht="15.75" customHeight="1" x14ac:dyDescent="0.25"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  <c r="AA784" s="96"/>
      <c r="AB784" s="96"/>
    </row>
    <row r="785" spans="2:28" s="99" customFormat="1" ht="15.75" customHeight="1" x14ac:dyDescent="0.25"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  <c r="AA785" s="96"/>
      <c r="AB785" s="96"/>
    </row>
    <row r="786" spans="2:28" s="99" customFormat="1" ht="15.75" customHeight="1" x14ac:dyDescent="0.25"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  <c r="AA786" s="96"/>
      <c r="AB786" s="96"/>
    </row>
    <row r="787" spans="2:28" s="99" customFormat="1" ht="15.75" customHeight="1" x14ac:dyDescent="0.25"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  <c r="AA787" s="96"/>
      <c r="AB787" s="96"/>
    </row>
    <row r="788" spans="2:28" s="99" customFormat="1" ht="15.75" customHeight="1" x14ac:dyDescent="0.25"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  <c r="AA788" s="96"/>
      <c r="AB788" s="96"/>
    </row>
    <row r="789" spans="2:28" s="99" customFormat="1" ht="15.75" customHeight="1" x14ac:dyDescent="0.25"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  <c r="AA789" s="96"/>
      <c r="AB789" s="96"/>
    </row>
    <row r="790" spans="2:28" s="99" customFormat="1" ht="15.75" customHeight="1" x14ac:dyDescent="0.25"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  <c r="AA790" s="96"/>
      <c r="AB790" s="96"/>
    </row>
    <row r="791" spans="2:28" s="99" customFormat="1" ht="15.75" customHeight="1" x14ac:dyDescent="0.25"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  <c r="AA791" s="96"/>
      <c r="AB791" s="96"/>
    </row>
    <row r="792" spans="2:28" s="99" customFormat="1" ht="15.75" customHeight="1" x14ac:dyDescent="0.25"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  <c r="AA792" s="96"/>
      <c r="AB792" s="96"/>
    </row>
    <row r="793" spans="2:28" s="99" customFormat="1" ht="15.75" customHeight="1" x14ac:dyDescent="0.25"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  <c r="AA793" s="96"/>
      <c r="AB793" s="96"/>
    </row>
    <row r="794" spans="2:28" s="99" customFormat="1" ht="15.75" customHeight="1" x14ac:dyDescent="0.25"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  <c r="AA794" s="96"/>
      <c r="AB794" s="96"/>
    </row>
    <row r="795" spans="2:28" s="99" customFormat="1" ht="15.75" customHeight="1" x14ac:dyDescent="0.25"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  <c r="AA795" s="96"/>
      <c r="AB795" s="96"/>
    </row>
    <row r="796" spans="2:28" s="99" customFormat="1" ht="15.75" customHeight="1" x14ac:dyDescent="0.25"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  <c r="AA796" s="96"/>
      <c r="AB796" s="96"/>
    </row>
    <row r="797" spans="2:28" s="99" customFormat="1" ht="15.75" customHeight="1" x14ac:dyDescent="0.25"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  <c r="AA797" s="96"/>
      <c r="AB797" s="96"/>
    </row>
    <row r="798" spans="2:28" s="99" customFormat="1" ht="15.75" customHeight="1" x14ac:dyDescent="0.25"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  <c r="AA798" s="96"/>
      <c r="AB798" s="96"/>
    </row>
    <row r="799" spans="2:28" s="99" customFormat="1" ht="15.75" customHeight="1" x14ac:dyDescent="0.25"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  <c r="AA799" s="96"/>
      <c r="AB799" s="96"/>
    </row>
    <row r="800" spans="2:28" s="99" customFormat="1" ht="15.75" customHeight="1" x14ac:dyDescent="0.25"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  <c r="AA800" s="96"/>
      <c r="AB800" s="96"/>
    </row>
    <row r="801" spans="2:28" s="99" customFormat="1" ht="15.75" customHeight="1" x14ac:dyDescent="0.25"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  <c r="AA801" s="96"/>
      <c r="AB801" s="96"/>
    </row>
    <row r="802" spans="2:28" s="99" customFormat="1" ht="15.75" customHeight="1" x14ac:dyDescent="0.25"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  <c r="AA802" s="96"/>
      <c r="AB802" s="96"/>
    </row>
    <row r="803" spans="2:28" s="99" customFormat="1" ht="15.75" customHeight="1" x14ac:dyDescent="0.25"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  <c r="AA803" s="96"/>
      <c r="AB803" s="96"/>
    </row>
    <row r="804" spans="2:28" s="99" customFormat="1" ht="15.75" customHeight="1" x14ac:dyDescent="0.25"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  <c r="AA804" s="96"/>
      <c r="AB804" s="96"/>
    </row>
    <row r="805" spans="2:28" s="99" customFormat="1" ht="15.75" customHeight="1" x14ac:dyDescent="0.25"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  <c r="AA805" s="96"/>
      <c r="AB805" s="96"/>
    </row>
    <row r="806" spans="2:28" s="99" customFormat="1" ht="15.75" customHeight="1" x14ac:dyDescent="0.25"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  <c r="AA806" s="96"/>
      <c r="AB806" s="96"/>
    </row>
    <row r="807" spans="2:28" s="99" customFormat="1" ht="15.75" customHeight="1" x14ac:dyDescent="0.25"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  <c r="AA807" s="96"/>
      <c r="AB807" s="96"/>
    </row>
    <row r="808" spans="2:28" s="99" customFormat="1" ht="15.75" customHeight="1" x14ac:dyDescent="0.25"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  <c r="AA808" s="96"/>
      <c r="AB808" s="96"/>
    </row>
    <row r="809" spans="2:28" s="99" customFormat="1" ht="15.75" customHeight="1" x14ac:dyDescent="0.25"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  <c r="AA809" s="96"/>
      <c r="AB809" s="96"/>
    </row>
    <row r="810" spans="2:28" s="99" customFormat="1" ht="15.75" customHeight="1" x14ac:dyDescent="0.25"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  <c r="AA810" s="96"/>
      <c r="AB810" s="96"/>
    </row>
    <row r="811" spans="2:28" s="99" customFormat="1" ht="15.75" customHeight="1" x14ac:dyDescent="0.25"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  <c r="AA811" s="96"/>
      <c r="AB811" s="96"/>
    </row>
    <row r="812" spans="2:28" s="99" customFormat="1" ht="15.75" customHeight="1" x14ac:dyDescent="0.25"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  <c r="AA812" s="96"/>
      <c r="AB812" s="96"/>
    </row>
    <row r="813" spans="2:28" s="99" customFormat="1" ht="15.75" customHeight="1" x14ac:dyDescent="0.25"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  <c r="AA813" s="96"/>
      <c r="AB813" s="96"/>
    </row>
    <row r="814" spans="2:28" s="99" customFormat="1" ht="15.75" customHeight="1" x14ac:dyDescent="0.25"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  <c r="AA814" s="96"/>
      <c r="AB814" s="96"/>
    </row>
    <row r="815" spans="2:28" s="99" customFormat="1" ht="15.75" customHeight="1" x14ac:dyDescent="0.25"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  <c r="AA815" s="96"/>
      <c r="AB815" s="96"/>
    </row>
    <row r="816" spans="2:28" s="99" customFormat="1" ht="15.75" customHeight="1" x14ac:dyDescent="0.25"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  <c r="AA816" s="96"/>
      <c r="AB816" s="96"/>
    </row>
    <row r="817" spans="2:28" s="99" customFormat="1" ht="15.75" customHeight="1" x14ac:dyDescent="0.25"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  <c r="AA817" s="96"/>
      <c r="AB817" s="96"/>
    </row>
    <row r="818" spans="2:28" s="99" customFormat="1" ht="15.75" customHeight="1" x14ac:dyDescent="0.25"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  <c r="AA818" s="96"/>
      <c r="AB818" s="96"/>
    </row>
    <row r="819" spans="2:28" s="99" customFormat="1" ht="15.75" customHeight="1" x14ac:dyDescent="0.25"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  <c r="AA819" s="96"/>
      <c r="AB819" s="96"/>
    </row>
    <row r="820" spans="2:28" s="99" customFormat="1" ht="15.75" customHeight="1" x14ac:dyDescent="0.25"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  <c r="AA820" s="96"/>
      <c r="AB820" s="96"/>
    </row>
    <row r="821" spans="2:28" s="99" customFormat="1" ht="15.75" customHeight="1" x14ac:dyDescent="0.25"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  <c r="AA821" s="96"/>
      <c r="AB821" s="96"/>
    </row>
    <row r="822" spans="2:28" s="99" customFormat="1" ht="15.75" customHeight="1" x14ac:dyDescent="0.25"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  <c r="AA822" s="96"/>
      <c r="AB822" s="96"/>
    </row>
    <row r="823" spans="2:28" s="99" customFormat="1" ht="15.75" customHeight="1" x14ac:dyDescent="0.25"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  <c r="AA823" s="96"/>
      <c r="AB823" s="96"/>
    </row>
    <row r="824" spans="2:28" s="99" customFormat="1" ht="15.75" customHeight="1" x14ac:dyDescent="0.25"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  <c r="AA824" s="96"/>
      <c r="AB824" s="96"/>
    </row>
    <row r="825" spans="2:28" s="99" customFormat="1" ht="15.75" customHeight="1" x14ac:dyDescent="0.25"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  <c r="AA825" s="96"/>
      <c r="AB825" s="96"/>
    </row>
    <row r="826" spans="2:28" s="99" customFormat="1" ht="15.75" customHeight="1" x14ac:dyDescent="0.25"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  <c r="AA826" s="96"/>
      <c r="AB826" s="96"/>
    </row>
    <row r="827" spans="2:28" s="99" customFormat="1" ht="15.75" customHeight="1" x14ac:dyDescent="0.25"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  <c r="AA827" s="96"/>
      <c r="AB827" s="96"/>
    </row>
    <row r="828" spans="2:28" s="99" customFormat="1" ht="15.75" customHeight="1" x14ac:dyDescent="0.25"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  <c r="AA828" s="96"/>
      <c r="AB828" s="96"/>
    </row>
    <row r="829" spans="2:28" s="99" customFormat="1" ht="15.75" customHeight="1" x14ac:dyDescent="0.25"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  <c r="AA829" s="96"/>
      <c r="AB829" s="96"/>
    </row>
    <row r="830" spans="2:28" s="99" customFormat="1" ht="15.75" customHeight="1" x14ac:dyDescent="0.25"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  <c r="AA830" s="96"/>
      <c r="AB830" s="96"/>
    </row>
    <row r="831" spans="2:28" s="99" customFormat="1" ht="15.75" customHeight="1" x14ac:dyDescent="0.25"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  <c r="AA831" s="96"/>
      <c r="AB831" s="96"/>
    </row>
    <row r="832" spans="2:28" s="99" customFormat="1" ht="15.75" customHeight="1" x14ac:dyDescent="0.25"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  <c r="AA832" s="96"/>
      <c r="AB832" s="96"/>
    </row>
    <row r="833" spans="2:28" s="99" customFormat="1" ht="15.75" customHeight="1" x14ac:dyDescent="0.25"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  <c r="AA833" s="96"/>
      <c r="AB833" s="96"/>
    </row>
    <row r="834" spans="2:28" s="99" customFormat="1" ht="15.75" customHeight="1" x14ac:dyDescent="0.25"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  <c r="AA834" s="96"/>
      <c r="AB834" s="96"/>
    </row>
    <row r="835" spans="2:28" s="99" customFormat="1" ht="15.75" customHeight="1" x14ac:dyDescent="0.25"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  <c r="AA835" s="96"/>
      <c r="AB835" s="96"/>
    </row>
    <row r="836" spans="2:28" s="99" customFormat="1" ht="15.75" customHeight="1" x14ac:dyDescent="0.25"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  <c r="AA836" s="96"/>
      <c r="AB836" s="96"/>
    </row>
    <row r="837" spans="2:28" s="99" customFormat="1" ht="15.75" customHeight="1" x14ac:dyDescent="0.25"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  <c r="AA837" s="96"/>
      <c r="AB837" s="96"/>
    </row>
  </sheetData>
  <mergeCells count="9">
    <mergeCell ref="A1:J1"/>
    <mergeCell ref="A2:J2"/>
    <mergeCell ref="A3:J3"/>
    <mergeCell ref="A4:J4"/>
    <mergeCell ref="A5:A6"/>
    <mergeCell ref="B5:B6"/>
    <mergeCell ref="C5:C6"/>
    <mergeCell ref="D5:D6"/>
    <mergeCell ref="I5:I6"/>
  </mergeCells>
  <printOptions horizontalCentered="1"/>
  <pageMargins left="0.23622047244094491" right="0.23622047244094491" top="0.44" bottom="0.19685039370078741" header="0.4" footer="0.31496062992125984"/>
  <pageSetup paperSize="9" scale="7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BC399-4BAB-4DA1-B0BA-2336ED65489C}">
  <sheetPr>
    <pageSetUpPr fitToPage="1"/>
  </sheetPr>
  <dimension ref="A1:AB816"/>
  <sheetViews>
    <sheetView view="pageBreakPreview" zoomScale="60" zoomScaleNormal="85" workbookViewId="0">
      <selection activeCell="H6" sqref="H6"/>
    </sheetView>
  </sheetViews>
  <sheetFormatPr defaultColWidth="12.5703125" defaultRowHeight="15" customHeight="1" x14ac:dyDescent="0.25"/>
  <cols>
    <col min="1" max="1" width="7.7109375" style="99" customWidth="1"/>
    <col min="2" max="2" width="23.28515625" style="96" bestFit="1" customWidth="1"/>
    <col min="3" max="3" width="36.5703125" style="96" customWidth="1"/>
    <col min="4" max="4" width="15.85546875" style="96" hidden="1" customWidth="1"/>
    <col min="5" max="7" width="16.28515625" style="96" customWidth="1"/>
    <col min="8" max="8" width="21" style="96" customWidth="1"/>
    <col min="9" max="9" width="16.28515625" style="96" hidden="1" customWidth="1"/>
    <col min="10" max="10" width="13.5703125" style="96" hidden="1" customWidth="1"/>
    <col min="11" max="11" width="16.140625" style="96" hidden="1" customWidth="1"/>
    <col min="12" max="12" width="11.140625" style="96" hidden="1" customWidth="1"/>
    <col min="13" max="28" width="7.5703125" style="96" customWidth="1"/>
    <col min="29" max="16384" width="12.5703125" style="96"/>
  </cols>
  <sheetData>
    <row r="1" spans="1:10" ht="30" customHeight="1" thickBot="1" x14ac:dyDescent="0.3">
      <c r="A1" s="171" t="s">
        <v>0</v>
      </c>
      <c r="B1" s="172"/>
      <c r="C1" s="172"/>
      <c r="D1" s="172"/>
      <c r="E1" s="172"/>
      <c r="F1" s="172"/>
      <c r="G1" s="172"/>
      <c r="H1" s="172"/>
      <c r="I1" s="172"/>
      <c r="J1" s="173"/>
    </row>
    <row r="2" spans="1:10" ht="30" customHeight="1" thickBot="1" x14ac:dyDescent="0.3">
      <c r="A2" s="171" t="s">
        <v>1</v>
      </c>
      <c r="B2" s="172"/>
      <c r="C2" s="172"/>
      <c r="D2" s="172"/>
      <c r="E2" s="172"/>
      <c r="F2" s="172"/>
      <c r="G2" s="172"/>
      <c r="H2" s="172"/>
      <c r="I2" s="172"/>
      <c r="J2" s="173"/>
    </row>
    <row r="3" spans="1:10" ht="30" customHeight="1" thickBot="1" x14ac:dyDescent="0.3">
      <c r="A3" s="171" t="s">
        <v>66</v>
      </c>
      <c r="B3" s="172"/>
      <c r="C3" s="172"/>
      <c r="D3" s="172"/>
      <c r="E3" s="172"/>
      <c r="F3" s="172"/>
      <c r="G3" s="172"/>
      <c r="H3" s="172"/>
      <c r="I3" s="172"/>
      <c r="J3" s="173"/>
    </row>
    <row r="4" spans="1:10" ht="30" customHeight="1" x14ac:dyDescent="0.25">
      <c r="A4" s="174" t="s">
        <v>623</v>
      </c>
      <c r="B4" s="175"/>
      <c r="C4" s="175"/>
      <c r="D4" s="175"/>
      <c r="E4" s="175"/>
      <c r="F4" s="175"/>
      <c r="G4" s="175"/>
      <c r="H4" s="175"/>
      <c r="I4" s="175"/>
      <c r="J4" s="176"/>
    </row>
    <row r="5" spans="1:10" ht="24.95" customHeight="1" x14ac:dyDescent="0.25">
      <c r="A5" s="181" t="s">
        <v>2</v>
      </c>
      <c r="B5" s="183" t="s">
        <v>3</v>
      </c>
      <c r="C5" s="183" t="s">
        <v>4</v>
      </c>
      <c r="D5" s="183" t="s">
        <v>5</v>
      </c>
      <c r="E5" s="64">
        <v>46118</v>
      </c>
      <c r="F5" s="64">
        <v>46118</v>
      </c>
      <c r="G5" s="64">
        <v>46119</v>
      </c>
      <c r="H5" s="64">
        <v>46119</v>
      </c>
      <c r="I5" s="185"/>
      <c r="J5" s="64">
        <v>46120</v>
      </c>
    </row>
    <row r="6" spans="1:10" ht="89.25" customHeight="1" x14ac:dyDescent="0.25">
      <c r="A6" s="182"/>
      <c r="B6" s="184"/>
      <c r="C6" s="184"/>
      <c r="D6" s="184"/>
      <c r="E6" s="97" t="s">
        <v>61</v>
      </c>
      <c r="F6" s="100" t="s">
        <v>62</v>
      </c>
      <c r="G6" s="100" t="s">
        <v>63</v>
      </c>
      <c r="H6" s="100" t="s">
        <v>64</v>
      </c>
      <c r="I6" s="186"/>
      <c r="J6" s="66" t="s">
        <v>71</v>
      </c>
    </row>
    <row r="7" spans="1:10" ht="24.95" customHeight="1" x14ac:dyDescent="0.25">
      <c r="A7" s="101">
        <v>1</v>
      </c>
      <c r="B7" s="108" t="s">
        <v>518</v>
      </c>
      <c r="C7" s="109" t="s">
        <v>519</v>
      </c>
      <c r="D7" s="104">
        <v>52.469135802469133</v>
      </c>
      <c r="E7" s="105"/>
      <c r="F7" s="105"/>
      <c r="G7" s="105"/>
      <c r="H7" s="105"/>
      <c r="I7" s="105"/>
    </row>
    <row r="8" spans="1:10" ht="24.95" customHeight="1" x14ac:dyDescent="0.25">
      <c r="A8" s="101">
        <v>2</v>
      </c>
      <c r="B8" s="108" t="s">
        <v>514</v>
      </c>
      <c r="C8" s="109" t="s">
        <v>515</v>
      </c>
      <c r="D8" s="104">
        <v>54.938271604938272</v>
      </c>
      <c r="E8" s="105"/>
      <c r="F8" s="105"/>
      <c r="G8" s="105"/>
      <c r="H8" s="105"/>
      <c r="I8" s="105"/>
    </row>
    <row r="9" spans="1:10" ht="24.95" customHeight="1" x14ac:dyDescent="0.25">
      <c r="A9" s="101">
        <v>3</v>
      </c>
      <c r="B9" s="108" t="s">
        <v>508</v>
      </c>
      <c r="C9" s="109" t="s">
        <v>509</v>
      </c>
      <c r="D9" s="104">
        <v>56.79012345679012</v>
      </c>
      <c r="E9" s="105"/>
      <c r="F9" s="105"/>
      <c r="G9" s="105"/>
      <c r="H9" s="105"/>
      <c r="I9" s="105"/>
    </row>
    <row r="10" spans="1:10" ht="24.95" customHeight="1" x14ac:dyDescent="0.25">
      <c r="A10" s="101">
        <v>4</v>
      </c>
      <c r="B10" s="108" t="s">
        <v>520</v>
      </c>
      <c r="C10" s="109" t="s">
        <v>521</v>
      </c>
      <c r="D10" s="104">
        <v>52.469135802469133</v>
      </c>
      <c r="E10" s="105"/>
      <c r="F10" s="105"/>
      <c r="G10" s="105"/>
      <c r="H10" s="105"/>
      <c r="I10" s="105"/>
    </row>
    <row r="11" spans="1:10" ht="24.95" customHeight="1" x14ac:dyDescent="0.25">
      <c r="A11" s="101">
        <v>5</v>
      </c>
      <c r="B11" s="108" t="s">
        <v>528</v>
      </c>
      <c r="C11" s="109" t="s">
        <v>529</v>
      </c>
      <c r="D11" s="104">
        <v>32.456140350877192</v>
      </c>
      <c r="E11" s="105"/>
      <c r="F11" s="105"/>
      <c r="G11" s="105"/>
      <c r="H11" s="105"/>
      <c r="I11" s="105"/>
    </row>
    <row r="12" spans="1:10" ht="24.95" customHeight="1" x14ac:dyDescent="0.25">
      <c r="A12" s="101">
        <v>6</v>
      </c>
      <c r="B12" s="108" t="s">
        <v>526</v>
      </c>
      <c r="C12" s="109" t="s">
        <v>527</v>
      </c>
      <c r="D12" s="104">
        <v>43.209876543209873</v>
      </c>
      <c r="E12" s="105"/>
      <c r="F12" s="105"/>
      <c r="G12" s="105"/>
      <c r="H12" s="105"/>
      <c r="I12" s="105"/>
    </row>
    <row r="13" spans="1:10" ht="24.95" customHeight="1" x14ac:dyDescent="0.25">
      <c r="A13" s="101">
        <v>7</v>
      </c>
      <c r="B13" s="108" t="s">
        <v>510</v>
      </c>
      <c r="C13" s="109" t="s">
        <v>511</v>
      </c>
      <c r="D13" s="104">
        <v>56.172839506172842</v>
      </c>
      <c r="E13" s="105"/>
      <c r="F13" s="105"/>
      <c r="G13" s="105"/>
      <c r="H13" s="105"/>
      <c r="I13" s="105"/>
    </row>
    <row r="14" spans="1:10" ht="24.95" customHeight="1" x14ac:dyDescent="0.25">
      <c r="A14" s="101">
        <v>8</v>
      </c>
      <c r="B14" s="108" t="s">
        <v>516</v>
      </c>
      <c r="C14" s="109" t="s">
        <v>517</v>
      </c>
      <c r="D14" s="104">
        <v>54.320987654320987</v>
      </c>
      <c r="E14" s="105"/>
      <c r="F14" s="105"/>
      <c r="G14" s="105"/>
      <c r="H14" s="105"/>
      <c r="I14" s="105"/>
    </row>
    <row r="15" spans="1:10" ht="24.95" customHeight="1" x14ac:dyDescent="0.25">
      <c r="A15" s="101">
        <v>9</v>
      </c>
      <c r="B15" s="108" t="s">
        <v>534</v>
      </c>
      <c r="C15" s="109" t="s">
        <v>535</v>
      </c>
      <c r="D15" s="104">
        <v>0</v>
      </c>
      <c r="E15" s="105"/>
      <c r="F15" s="105"/>
      <c r="G15" s="105"/>
      <c r="H15" s="105"/>
      <c r="I15" s="105"/>
    </row>
    <row r="16" spans="1:10" ht="24.95" customHeight="1" x14ac:dyDescent="0.25">
      <c r="A16" s="101">
        <v>10</v>
      </c>
      <c r="B16" s="108" t="s">
        <v>522</v>
      </c>
      <c r="C16" s="109" t="s">
        <v>523</v>
      </c>
      <c r="D16" s="104">
        <v>51.851851851851848</v>
      </c>
      <c r="E16" s="105"/>
      <c r="F16" s="105"/>
      <c r="G16" s="105"/>
      <c r="H16" s="105"/>
      <c r="I16" s="105"/>
    </row>
    <row r="17" spans="1:9" ht="24.95" customHeight="1" x14ac:dyDescent="0.25">
      <c r="A17" s="101">
        <v>11</v>
      </c>
      <c r="B17" s="108" t="s">
        <v>530</v>
      </c>
      <c r="C17" s="109" t="s">
        <v>531</v>
      </c>
      <c r="D17" s="104">
        <v>25.477707006369428</v>
      </c>
      <c r="E17" s="105"/>
      <c r="F17" s="105"/>
      <c r="G17" s="105"/>
      <c r="H17" s="105"/>
      <c r="I17" s="105"/>
    </row>
    <row r="18" spans="1:9" ht="24.95" customHeight="1" x14ac:dyDescent="0.25">
      <c r="A18" s="101">
        <v>12</v>
      </c>
      <c r="B18" s="108" t="s">
        <v>506</v>
      </c>
      <c r="C18" s="109" t="s">
        <v>507</v>
      </c>
      <c r="D18" s="104">
        <v>57.407407407407405</v>
      </c>
      <c r="E18" s="105"/>
      <c r="F18" s="105"/>
      <c r="G18" s="105"/>
      <c r="H18" s="105"/>
      <c r="I18" s="105"/>
    </row>
    <row r="19" spans="1:9" ht="24.95" customHeight="1" x14ac:dyDescent="0.25">
      <c r="A19" s="101">
        <v>13</v>
      </c>
      <c r="B19" s="108" t="s">
        <v>536</v>
      </c>
      <c r="C19" s="109" t="s">
        <v>537</v>
      </c>
      <c r="D19" s="104"/>
      <c r="E19" s="105"/>
      <c r="F19" s="105"/>
      <c r="G19" s="105"/>
      <c r="H19" s="105"/>
      <c r="I19" s="105"/>
    </row>
    <row r="20" spans="1:9" ht="24.95" customHeight="1" x14ac:dyDescent="0.25">
      <c r="A20" s="101">
        <v>14</v>
      </c>
      <c r="B20" s="108" t="s">
        <v>532</v>
      </c>
      <c r="C20" s="109" t="s">
        <v>533</v>
      </c>
      <c r="D20" s="104"/>
      <c r="E20" s="105"/>
      <c r="F20" s="105"/>
      <c r="G20" s="105"/>
      <c r="H20" s="105"/>
      <c r="I20" s="105"/>
    </row>
    <row r="21" spans="1:9" ht="24.95" customHeight="1" x14ac:dyDescent="0.25">
      <c r="A21" s="101">
        <v>15</v>
      </c>
      <c r="B21" s="108" t="s">
        <v>512</v>
      </c>
      <c r="C21" s="109" t="s">
        <v>513</v>
      </c>
      <c r="D21" s="104"/>
      <c r="E21" s="105"/>
      <c r="F21" s="105"/>
      <c r="G21" s="105"/>
      <c r="H21" s="105"/>
      <c r="I21" s="105"/>
    </row>
    <row r="22" spans="1:9" ht="24.95" customHeight="1" x14ac:dyDescent="0.25">
      <c r="A22" s="101">
        <v>16</v>
      </c>
      <c r="B22" s="108" t="s">
        <v>524</v>
      </c>
      <c r="C22" s="109" t="s">
        <v>525</v>
      </c>
      <c r="D22" s="104"/>
      <c r="E22" s="105"/>
      <c r="F22" s="105"/>
      <c r="G22" s="105"/>
      <c r="H22" s="105"/>
      <c r="I22" s="105"/>
    </row>
    <row r="23" spans="1:9" ht="15.75" customHeight="1" x14ac:dyDescent="0.25">
      <c r="B23" s="98"/>
      <c r="C23" s="98"/>
      <c r="D23" s="98"/>
    </row>
    <row r="24" spans="1:9" ht="15.75" customHeight="1" x14ac:dyDescent="0.25">
      <c r="B24" s="98"/>
      <c r="C24" s="98"/>
      <c r="D24" s="98"/>
    </row>
    <row r="25" spans="1:9" ht="15.75" customHeight="1" x14ac:dyDescent="0.25">
      <c r="B25" s="98"/>
      <c r="C25" s="98"/>
      <c r="D25" s="98"/>
    </row>
    <row r="26" spans="1:9" ht="15.75" customHeight="1" x14ac:dyDescent="0.25">
      <c r="B26" s="98"/>
      <c r="C26" s="98"/>
      <c r="D26" s="98"/>
    </row>
    <row r="27" spans="1:9" ht="15.75" customHeight="1" x14ac:dyDescent="0.25">
      <c r="B27" s="98"/>
      <c r="C27" s="98"/>
      <c r="D27" s="98"/>
    </row>
    <row r="28" spans="1:9" ht="15.75" customHeight="1" x14ac:dyDescent="0.25">
      <c r="B28" s="98"/>
      <c r="C28" s="98"/>
      <c r="D28" s="98"/>
    </row>
    <row r="29" spans="1:9" ht="15.75" customHeight="1" x14ac:dyDescent="0.25">
      <c r="B29" s="98"/>
      <c r="C29" s="98"/>
      <c r="D29" s="98"/>
    </row>
    <row r="30" spans="1:9" ht="15.75" customHeight="1" x14ac:dyDescent="0.25">
      <c r="B30" s="98"/>
      <c r="C30" s="98"/>
      <c r="D30" s="98"/>
    </row>
    <row r="31" spans="1:9" ht="15.75" customHeight="1" x14ac:dyDescent="0.25">
      <c r="B31" s="98"/>
      <c r="C31" s="98"/>
      <c r="D31" s="98"/>
    </row>
    <row r="32" spans="1:9" ht="15.75" customHeight="1" x14ac:dyDescent="0.25">
      <c r="B32" s="98"/>
      <c r="C32" s="98"/>
      <c r="D32" s="98"/>
    </row>
    <row r="33" spans="2:4" ht="15.75" customHeight="1" x14ac:dyDescent="0.25">
      <c r="B33" s="98"/>
      <c r="C33" s="98"/>
      <c r="D33" s="98"/>
    </row>
    <row r="34" spans="2:4" ht="15.75" customHeight="1" x14ac:dyDescent="0.25">
      <c r="B34" s="98"/>
      <c r="C34" s="98"/>
      <c r="D34" s="98"/>
    </row>
    <row r="35" spans="2:4" ht="15.75" customHeight="1" x14ac:dyDescent="0.25">
      <c r="B35" s="98"/>
      <c r="C35" s="98"/>
      <c r="D35" s="98"/>
    </row>
    <row r="36" spans="2:4" ht="15.75" customHeight="1" x14ac:dyDescent="0.25">
      <c r="B36" s="98"/>
      <c r="C36" s="98"/>
      <c r="D36" s="98"/>
    </row>
    <row r="37" spans="2:4" ht="15.75" customHeight="1" x14ac:dyDescent="0.25">
      <c r="B37" s="98"/>
      <c r="C37" s="98"/>
      <c r="D37" s="98"/>
    </row>
    <row r="38" spans="2:4" ht="15.75" customHeight="1" x14ac:dyDescent="0.25">
      <c r="B38" s="98"/>
      <c r="C38" s="98"/>
      <c r="D38" s="98"/>
    </row>
    <row r="39" spans="2:4" ht="15.75" customHeight="1" x14ac:dyDescent="0.25">
      <c r="B39" s="98"/>
      <c r="C39" s="98"/>
      <c r="D39" s="98"/>
    </row>
    <row r="40" spans="2:4" ht="15.75" customHeight="1" x14ac:dyDescent="0.25">
      <c r="B40" s="98"/>
      <c r="C40" s="98"/>
      <c r="D40" s="98"/>
    </row>
    <row r="41" spans="2:4" ht="15.75" customHeight="1" x14ac:dyDescent="0.25">
      <c r="B41" s="98"/>
      <c r="C41" s="98"/>
      <c r="D41" s="98"/>
    </row>
    <row r="42" spans="2:4" ht="15.75" customHeight="1" x14ac:dyDescent="0.25">
      <c r="B42" s="98"/>
      <c r="C42" s="98"/>
      <c r="D42" s="98"/>
    </row>
    <row r="43" spans="2:4" ht="15.75" customHeight="1" x14ac:dyDescent="0.25">
      <c r="B43" s="98"/>
      <c r="C43" s="98"/>
      <c r="D43" s="98"/>
    </row>
    <row r="44" spans="2:4" ht="15.75" customHeight="1" x14ac:dyDescent="0.25">
      <c r="B44" s="98"/>
      <c r="C44" s="98"/>
      <c r="D44" s="98"/>
    </row>
    <row r="45" spans="2:4" ht="15.75" customHeight="1" x14ac:dyDescent="0.25">
      <c r="B45" s="98"/>
      <c r="C45" s="98"/>
      <c r="D45" s="98"/>
    </row>
    <row r="46" spans="2:4" ht="15.75" customHeight="1" x14ac:dyDescent="0.25">
      <c r="B46" s="98"/>
      <c r="C46" s="98"/>
      <c r="D46" s="98"/>
    </row>
    <row r="47" spans="2:4" ht="15.75" customHeight="1" x14ac:dyDescent="0.25">
      <c r="B47" s="98"/>
      <c r="C47" s="98"/>
      <c r="D47" s="98"/>
    </row>
    <row r="48" spans="2:4" ht="15.75" customHeight="1" x14ac:dyDescent="0.25">
      <c r="B48" s="98"/>
      <c r="C48" s="98"/>
      <c r="D48" s="98"/>
    </row>
    <row r="49" spans="2:4" ht="15.75" customHeight="1" x14ac:dyDescent="0.25">
      <c r="B49" s="98"/>
      <c r="C49" s="98"/>
      <c r="D49" s="98"/>
    </row>
    <row r="50" spans="2:4" ht="15.75" customHeight="1" x14ac:dyDescent="0.25">
      <c r="B50" s="98"/>
      <c r="C50" s="98"/>
      <c r="D50" s="98"/>
    </row>
    <row r="51" spans="2:4" ht="15.75" customHeight="1" x14ac:dyDescent="0.25">
      <c r="B51" s="98"/>
      <c r="C51" s="98"/>
      <c r="D51" s="98"/>
    </row>
    <row r="52" spans="2:4" ht="15.75" customHeight="1" x14ac:dyDescent="0.25">
      <c r="B52" s="98"/>
      <c r="C52" s="98"/>
      <c r="D52" s="98"/>
    </row>
    <row r="53" spans="2:4" ht="15.75" customHeight="1" x14ac:dyDescent="0.25">
      <c r="B53" s="98"/>
      <c r="C53" s="98"/>
      <c r="D53" s="98"/>
    </row>
    <row r="54" spans="2:4" ht="15.75" customHeight="1" x14ac:dyDescent="0.25">
      <c r="B54" s="98"/>
      <c r="C54" s="98"/>
      <c r="D54" s="98"/>
    </row>
    <row r="55" spans="2:4" ht="15.75" customHeight="1" x14ac:dyDescent="0.25">
      <c r="B55" s="98"/>
      <c r="C55" s="98"/>
      <c r="D55" s="98"/>
    </row>
    <row r="56" spans="2:4" ht="15.75" customHeight="1" x14ac:dyDescent="0.25">
      <c r="B56" s="98"/>
      <c r="C56" s="98"/>
      <c r="D56" s="98"/>
    </row>
    <row r="57" spans="2:4" ht="15.75" customHeight="1" x14ac:dyDescent="0.25">
      <c r="B57" s="98"/>
      <c r="C57" s="98"/>
      <c r="D57" s="98"/>
    </row>
    <row r="58" spans="2:4" ht="15.75" customHeight="1" x14ac:dyDescent="0.25">
      <c r="B58" s="98"/>
      <c r="C58" s="98"/>
      <c r="D58" s="98"/>
    </row>
    <row r="59" spans="2:4" ht="15.75" customHeight="1" x14ac:dyDescent="0.25">
      <c r="B59" s="98"/>
      <c r="C59" s="98"/>
      <c r="D59" s="98"/>
    </row>
    <row r="60" spans="2:4" ht="15.75" customHeight="1" x14ac:dyDescent="0.25">
      <c r="B60" s="98"/>
      <c r="C60" s="98"/>
      <c r="D60" s="98"/>
    </row>
    <row r="61" spans="2:4" ht="15.75" customHeight="1" x14ac:dyDescent="0.25">
      <c r="B61" s="98"/>
      <c r="C61" s="98"/>
      <c r="D61" s="98"/>
    </row>
    <row r="62" spans="2:4" ht="15.75" customHeight="1" x14ac:dyDescent="0.25">
      <c r="B62" s="98"/>
      <c r="C62" s="98"/>
      <c r="D62" s="98"/>
    </row>
    <row r="63" spans="2:4" ht="15.75" customHeight="1" x14ac:dyDescent="0.25">
      <c r="B63" s="98"/>
      <c r="C63" s="98"/>
      <c r="D63" s="98"/>
    </row>
    <row r="64" spans="2:4" ht="15.75" customHeight="1" x14ac:dyDescent="0.25">
      <c r="B64" s="98"/>
      <c r="C64" s="98"/>
      <c r="D64" s="98"/>
    </row>
    <row r="65" spans="2:4" ht="15.75" customHeight="1" x14ac:dyDescent="0.25">
      <c r="B65" s="98"/>
      <c r="C65" s="98"/>
      <c r="D65" s="98"/>
    </row>
    <row r="66" spans="2:4" ht="15.75" customHeight="1" x14ac:dyDescent="0.25">
      <c r="B66" s="98"/>
      <c r="C66" s="98"/>
      <c r="D66" s="98"/>
    </row>
    <row r="67" spans="2:4" ht="15.75" customHeight="1" x14ac:dyDescent="0.25">
      <c r="B67" s="98"/>
      <c r="C67" s="98"/>
      <c r="D67" s="98"/>
    </row>
    <row r="68" spans="2:4" ht="15.75" customHeight="1" x14ac:dyDescent="0.25">
      <c r="B68" s="98"/>
      <c r="C68" s="98"/>
      <c r="D68" s="98"/>
    </row>
    <row r="69" spans="2:4" ht="15.75" customHeight="1" x14ac:dyDescent="0.25">
      <c r="B69" s="98"/>
      <c r="C69" s="98"/>
      <c r="D69" s="98"/>
    </row>
    <row r="70" spans="2:4" ht="15.75" customHeight="1" x14ac:dyDescent="0.25">
      <c r="B70" s="98"/>
      <c r="C70" s="98"/>
      <c r="D70" s="98"/>
    </row>
    <row r="71" spans="2:4" ht="15.75" customHeight="1" x14ac:dyDescent="0.25">
      <c r="B71" s="98"/>
      <c r="C71" s="98"/>
      <c r="D71" s="98"/>
    </row>
    <row r="72" spans="2:4" ht="15.75" customHeight="1" x14ac:dyDescent="0.25">
      <c r="B72" s="98"/>
      <c r="C72" s="98"/>
      <c r="D72" s="98"/>
    </row>
    <row r="73" spans="2:4" ht="15.75" customHeight="1" x14ac:dyDescent="0.25">
      <c r="B73" s="98"/>
      <c r="C73" s="98"/>
      <c r="D73" s="98"/>
    </row>
    <row r="74" spans="2:4" ht="15.75" customHeight="1" x14ac:dyDescent="0.25">
      <c r="B74" s="98"/>
      <c r="C74" s="98"/>
      <c r="D74" s="98"/>
    </row>
    <row r="75" spans="2:4" ht="15.75" customHeight="1" x14ac:dyDescent="0.25"/>
    <row r="76" spans="2:4" ht="15.75" customHeight="1" x14ac:dyDescent="0.25"/>
    <row r="77" spans="2:4" ht="15.75" customHeight="1" x14ac:dyDescent="0.25"/>
    <row r="78" spans="2:4" ht="15.75" customHeight="1" x14ac:dyDescent="0.25"/>
    <row r="79" spans="2:4" ht="15.75" customHeight="1" x14ac:dyDescent="0.25"/>
    <row r="80" spans="2:4" ht="15.75" customHeight="1" x14ac:dyDescent="0.25"/>
    <row r="81" spans="2:28" ht="15.75" customHeight="1" x14ac:dyDescent="0.25"/>
    <row r="82" spans="2:28" ht="15.75" customHeight="1" x14ac:dyDescent="0.25"/>
    <row r="83" spans="2:28" ht="15.75" customHeight="1" x14ac:dyDescent="0.25"/>
    <row r="84" spans="2:28" ht="15.75" customHeight="1" x14ac:dyDescent="0.25"/>
    <row r="85" spans="2:28" s="99" customFormat="1" ht="15.75" customHeight="1" x14ac:dyDescent="0.25"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</row>
    <row r="86" spans="2:28" s="99" customFormat="1" ht="15.75" customHeight="1" x14ac:dyDescent="0.2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</row>
    <row r="87" spans="2:28" s="99" customFormat="1" ht="15.75" customHeight="1" x14ac:dyDescent="0.2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</row>
    <row r="88" spans="2:28" s="99" customFormat="1" ht="15.75" customHeight="1" x14ac:dyDescent="0.2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</row>
    <row r="89" spans="2:28" s="99" customFormat="1" ht="15.75" customHeight="1" x14ac:dyDescent="0.2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</row>
    <row r="90" spans="2:28" s="99" customFormat="1" ht="15.75" customHeight="1" x14ac:dyDescent="0.2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</row>
    <row r="91" spans="2:28" s="99" customFormat="1" ht="15.75" customHeight="1" x14ac:dyDescent="0.2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</row>
    <row r="92" spans="2:28" s="99" customFormat="1" ht="15.75" customHeight="1" x14ac:dyDescent="0.2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</row>
    <row r="93" spans="2:28" s="99" customFormat="1" ht="15.75" customHeight="1" x14ac:dyDescent="0.2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</row>
    <row r="94" spans="2:28" s="99" customFormat="1" ht="15.75" customHeight="1" x14ac:dyDescent="0.2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</row>
    <row r="95" spans="2:28" s="99" customFormat="1" ht="15.75" customHeight="1" x14ac:dyDescent="0.2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</row>
    <row r="96" spans="2:28" s="99" customFormat="1" ht="15.75" customHeight="1" x14ac:dyDescent="0.2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</row>
    <row r="97" spans="2:28" s="99" customFormat="1" ht="15.75" customHeight="1" x14ac:dyDescent="0.2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</row>
    <row r="98" spans="2:28" s="99" customFormat="1" ht="15.75" customHeight="1" x14ac:dyDescent="0.2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</row>
    <row r="99" spans="2:28" s="99" customFormat="1" ht="15.75" customHeight="1" x14ac:dyDescent="0.2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</row>
    <row r="100" spans="2:28" s="99" customFormat="1" ht="15.75" customHeight="1" x14ac:dyDescent="0.2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</row>
    <row r="101" spans="2:28" s="99" customFormat="1" ht="15.75" customHeight="1" x14ac:dyDescent="0.2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</row>
    <row r="102" spans="2:28" s="99" customFormat="1" ht="15.75" customHeight="1" x14ac:dyDescent="0.2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</row>
    <row r="103" spans="2:28" s="99" customFormat="1" ht="15.75" customHeight="1" x14ac:dyDescent="0.2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</row>
    <row r="104" spans="2:28" s="99" customFormat="1" ht="15.75" customHeight="1" x14ac:dyDescent="0.2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</row>
    <row r="105" spans="2:28" s="99" customFormat="1" ht="15.75" customHeight="1" x14ac:dyDescent="0.2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</row>
    <row r="106" spans="2:28" s="99" customFormat="1" ht="15.75" customHeight="1" x14ac:dyDescent="0.2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</row>
    <row r="107" spans="2:28" s="99" customFormat="1" ht="15.75" customHeight="1" x14ac:dyDescent="0.2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</row>
    <row r="108" spans="2:28" s="99" customFormat="1" ht="15.75" customHeight="1" x14ac:dyDescent="0.2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</row>
    <row r="109" spans="2:28" s="99" customFormat="1" ht="15.75" customHeight="1" x14ac:dyDescent="0.2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</row>
    <row r="110" spans="2:28" s="99" customFormat="1" ht="15.75" customHeight="1" x14ac:dyDescent="0.25"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</row>
    <row r="111" spans="2:28" s="99" customFormat="1" ht="15.75" customHeight="1" x14ac:dyDescent="0.25"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</row>
    <row r="112" spans="2:28" s="99" customFormat="1" ht="15.75" customHeight="1" x14ac:dyDescent="0.25"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</row>
    <row r="113" spans="2:28" s="99" customFormat="1" ht="15.75" customHeight="1" x14ac:dyDescent="0.25"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</row>
    <row r="114" spans="2:28" s="99" customFormat="1" ht="15.75" customHeight="1" x14ac:dyDescent="0.25"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</row>
    <row r="115" spans="2:28" s="99" customFormat="1" ht="15.75" customHeight="1" x14ac:dyDescent="0.25"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</row>
    <row r="116" spans="2:28" s="99" customFormat="1" ht="15.75" customHeight="1" x14ac:dyDescent="0.25"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</row>
    <row r="117" spans="2:28" s="99" customFormat="1" ht="15.75" customHeight="1" x14ac:dyDescent="0.25"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</row>
    <row r="118" spans="2:28" s="99" customFormat="1" ht="15.75" customHeight="1" x14ac:dyDescent="0.25"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</row>
    <row r="119" spans="2:28" s="99" customFormat="1" ht="15.75" customHeight="1" x14ac:dyDescent="0.25"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</row>
    <row r="120" spans="2:28" s="99" customFormat="1" ht="15.75" customHeight="1" x14ac:dyDescent="0.25"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</row>
    <row r="121" spans="2:28" s="99" customFormat="1" ht="15.75" customHeight="1" x14ac:dyDescent="0.25"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</row>
    <row r="122" spans="2:28" s="99" customFormat="1" ht="15.75" customHeight="1" x14ac:dyDescent="0.25"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</row>
    <row r="123" spans="2:28" s="99" customFormat="1" ht="15.75" customHeight="1" x14ac:dyDescent="0.25"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</row>
    <row r="124" spans="2:28" s="99" customFormat="1" ht="15.75" customHeight="1" x14ac:dyDescent="0.25"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</row>
    <row r="125" spans="2:28" s="99" customFormat="1" ht="15.75" customHeight="1" x14ac:dyDescent="0.25"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</row>
    <row r="126" spans="2:28" s="99" customFormat="1" ht="15.75" customHeight="1" x14ac:dyDescent="0.25"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</row>
    <row r="127" spans="2:28" s="99" customFormat="1" ht="15.75" customHeight="1" x14ac:dyDescent="0.25"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</row>
    <row r="128" spans="2:28" s="99" customFormat="1" ht="15.75" customHeight="1" x14ac:dyDescent="0.25"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</row>
    <row r="129" spans="2:28" s="99" customFormat="1" ht="15.75" customHeight="1" x14ac:dyDescent="0.25"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</row>
    <row r="130" spans="2:28" s="99" customFormat="1" ht="15.75" customHeight="1" x14ac:dyDescent="0.25"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</row>
    <row r="131" spans="2:28" s="99" customFormat="1" ht="15.75" customHeight="1" x14ac:dyDescent="0.25"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</row>
    <row r="132" spans="2:28" s="99" customFormat="1" ht="15.75" customHeight="1" x14ac:dyDescent="0.25"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</row>
    <row r="133" spans="2:28" s="99" customFormat="1" ht="15.75" customHeight="1" x14ac:dyDescent="0.25"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</row>
    <row r="134" spans="2:28" s="99" customFormat="1" ht="15.75" customHeight="1" x14ac:dyDescent="0.25"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</row>
    <row r="135" spans="2:28" s="99" customFormat="1" ht="15.75" customHeight="1" x14ac:dyDescent="0.25"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</row>
    <row r="136" spans="2:28" s="99" customFormat="1" ht="15.75" customHeight="1" x14ac:dyDescent="0.25"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</row>
    <row r="137" spans="2:28" s="99" customFormat="1" ht="15.75" customHeight="1" x14ac:dyDescent="0.25"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</row>
    <row r="138" spans="2:28" s="99" customFormat="1" ht="15.75" customHeight="1" x14ac:dyDescent="0.25"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</row>
    <row r="139" spans="2:28" s="99" customFormat="1" ht="15.75" customHeight="1" x14ac:dyDescent="0.25"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</row>
    <row r="140" spans="2:28" s="99" customFormat="1" ht="15.75" customHeight="1" x14ac:dyDescent="0.25"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</row>
    <row r="141" spans="2:28" s="99" customFormat="1" ht="15.75" customHeight="1" x14ac:dyDescent="0.25"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</row>
    <row r="142" spans="2:28" s="99" customFormat="1" ht="15.75" customHeight="1" x14ac:dyDescent="0.25"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</row>
    <row r="143" spans="2:28" s="99" customFormat="1" ht="15.75" customHeight="1" x14ac:dyDescent="0.25"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</row>
    <row r="144" spans="2:28" s="99" customFormat="1" ht="15.75" customHeight="1" x14ac:dyDescent="0.25"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</row>
    <row r="145" spans="2:28" s="99" customFormat="1" ht="15.75" customHeight="1" x14ac:dyDescent="0.25"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</row>
    <row r="146" spans="2:28" s="99" customFormat="1" ht="15.75" customHeight="1" x14ac:dyDescent="0.25"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</row>
    <row r="147" spans="2:28" s="99" customFormat="1" ht="15.75" customHeight="1" x14ac:dyDescent="0.25"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</row>
    <row r="148" spans="2:28" s="99" customFormat="1" ht="15.75" customHeight="1" x14ac:dyDescent="0.25"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</row>
    <row r="149" spans="2:28" s="99" customFormat="1" ht="15.75" customHeight="1" x14ac:dyDescent="0.25"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</row>
    <row r="150" spans="2:28" s="99" customFormat="1" ht="15.75" customHeight="1" x14ac:dyDescent="0.25"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</row>
    <row r="151" spans="2:28" s="99" customFormat="1" ht="15.75" customHeight="1" x14ac:dyDescent="0.25"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</row>
    <row r="152" spans="2:28" s="99" customFormat="1" ht="15.75" customHeight="1" x14ac:dyDescent="0.25"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</row>
    <row r="153" spans="2:28" s="99" customFormat="1" ht="15.75" customHeight="1" x14ac:dyDescent="0.25"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</row>
    <row r="154" spans="2:28" s="99" customFormat="1" ht="15.75" customHeight="1" x14ac:dyDescent="0.25"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</row>
    <row r="155" spans="2:28" s="99" customFormat="1" ht="15.75" customHeight="1" x14ac:dyDescent="0.25"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</row>
    <row r="156" spans="2:28" s="99" customFormat="1" ht="15.75" customHeight="1" x14ac:dyDescent="0.25"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</row>
    <row r="157" spans="2:28" s="99" customFormat="1" ht="15.75" customHeight="1" x14ac:dyDescent="0.25"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</row>
    <row r="158" spans="2:28" s="99" customFormat="1" ht="15.75" customHeight="1" x14ac:dyDescent="0.25"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</row>
    <row r="159" spans="2:28" s="99" customFormat="1" ht="15.75" customHeight="1" x14ac:dyDescent="0.25"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</row>
    <row r="160" spans="2:28" s="99" customFormat="1" ht="15.75" customHeight="1" x14ac:dyDescent="0.25"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</row>
    <row r="161" spans="2:28" s="99" customFormat="1" ht="15.75" customHeight="1" x14ac:dyDescent="0.25"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</row>
    <row r="162" spans="2:28" s="99" customFormat="1" ht="15.75" customHeight="1" x14ac:dyDescent="0.25"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</row>
    <row r="163" spans="2:28" s="99" customFormat="1" ht="15.75" customHeight="1" x14ac:dyDescent="0.25"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</row>
    <row r="164" spans="2:28" s="99" customFormat="1" ht="15.75" customHeight="1" x14ac:dyDescent="0.25"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</row>
    <row r="165" spans="2:28" s="99" customFormat="1" ht="15.75" customHeight="1" x14ac:dyDescent="0.25"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</row>
    <row r="166" spans="2:28" s="99" customFormat="1" ht="15.75" customHeight="1" x14ac:dyDescent="0.25"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</row>
    <row r="167" spans="2:28" s="99" customFormat="1" ht="15.75" customHeight="1" x14ac:dyDescent="0.25"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</row>
    <row r="168" spans="2:28" s="99" customFormat="1" ht="15.75" customHeight="1" x14ac:dyDescent="0.25"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</row>
    <row r="169" spans="2:28" s="99" customFormat="1" ht="15.75" customHeight="1" x14ac:dyDescent="0.25"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</row>
    <row r="170" spans="2:28" s="99" customFormat="1" ht="15.75" customHeight="1" x14ac:dyDescent="0.25"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</row>
    <row r="171" spans="2:28" s="99" customFormat="1" ht="15.75" customHeight="1" x14ac:dyDescent="0.25"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</row>
    <row r="172" spans="2:28" s="99" customFormat="1" ht="15.75" customHeight="1" x14ac:dyDescent="0.25"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</row>
    <row r="173" spans="2:28" s="99" customFormat="1" ht="15.75" customHeight="1" x14ac:dyDescent="0.25"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</row>
    <row r="174" spans="2:28" s="99" customFormat="1" ht="15.75" customHeight="1" x14ac:dyDescent="0.25"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</row>
    <row r="175" spans="2:28" s="99" customFormat="1" ht="15.75" customHeight="1" x14ac:dyDescent="0.25"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</row>
    <row r="176" spans="2:28" s="99" customFormat="1" ht="15.75" customHeight="1" x14ac:dyDescent="0.25"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</row>
    <row r="177" spans="2:28" s="99" customFormat="1" ht="15.75" customHeight="1" x14ac:dyDescent="0.25"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</row>
    <row r="178" spans="2:28" s="99" customFormat="1" ht="15.75" customHeight="1" x14ac:dyDescent="0.25"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</row>
    <row r="179" spans="2:28" s="99" customFormat="1" ht="15.75" customHeight="1" x14ac:dyDescent="0.25"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</row>
    <row r="180" spans="2:28" s="99" customFormat="1" ht="15.75" customHeight="1" x14ac:dyDescent="0.25"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</row>
    <row r="181" spans="2:28" s="99" customFormat="1" ht="15.75" customHeight="1" x14ac:dyDescent="0.25"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</row>
    <row r="182" spans="2:28" s="99" customFormat="1" ht="15.75" customHeight="1" x14ac:dyDescent="0.25"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</row>
    <row r="183" spans="2:28" s="99" customFormat="1" ht="15.75" customHeight="1" x14ac:dyDescent="0.25"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</row>
    <row r="184" spans="2:28" s="99" customFormat="1" ht="15.75" customHeight="1" x14ac:dyDescent="0.25"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</row>
    <row r="185" spans="2:28" s="99" customFormat="1" ht="15.75" customHeight="1" x14ac:dyDescent="0.25"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</row>
    <row r="186" spans="2:28" s="99" customFormat="1" ht="15.75" customHeight="1" x14ac:dyDescent="0.25"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</row>
    <row r="187" spans="2:28" s="99" customFormat="1" ht="15.75" customHeight="1" x14ac:dyDescent="0.25"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</row>
    <row r="188" spans="2:28" s="99" customFormat="1" ht="15.75" customHeight="1" x14ac:dyDescent="0.25"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</row>
    <row r="189" spans="2:28" s="99" customFormat="1" ht="15.75" customHeight="1" x14ac:dyDescent="0.25"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</row>
    <row r="190" spans="2:28" s="99" customFormat="1" ht="15.75" customHeight="1" x14ac:dyDescent="0.25"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</row>
    <row r="191" spans="2:28" s="99" customFormat="1" ht="15.75" customHeight="1" x14ac:dyDescent="0.25"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</row>
    <row r="192" spans="2:28" s="99" customFormat="1" ht="15.75" customHeight="1" x14ac:dyDescent="0.25"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</row>
    <row r="193" spans="2:28" s="99" customFormat="1" ht="15.75" customHeight="1" x14ac:dyDescent="0.25"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</row>
    <row r="194" spans="2:28" s="99" customFormat="1" ht="15.75" customHeight="1" x14ac:dyDescent="0.25"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</row>
    <row r="195" spans="2:28" s="99" customFormat="1" ht="15.75" customHeight="1" x14ac:dyDescent="0.25"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</row>
    <row r="196" spans="2:28" s="99" customFormat="1" ht="15.75" customHeight="1" x14ac:dyDescent="0.25"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</row>
    <row r="197" spans="2:28" s="99" customFormat="1" ht="15.75" customHeight="1" x14ac:dyDescent="0.25"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</row>
    <row r="198" spans="2:28" s="99" customFormat="1" ht="15.75" customHeight="1" x14ac:dyDescent="0.25"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</row>
    <row r="199" spans="2:28" s="99" customFormat="1" ht="15.75" customHeight="1" x14ac:dyDescent="0.25"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</row>
    <row r="200" spans="2:28" s="99" customFormat="1" ht="15.75" customHeight="1" x14ac:dyDescent="0.25"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</row>
    <row r="201" spans="2:28" s="99" customFormat="1" ht="15.75" customHeight="1" x14ac:dyDescent="0.25"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</row>
    <row r="202" spans="2:28" s="99" customFormat="1" ht="15.75" customHeight="1" x14ac:dyDescent="0.25"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</row>
    <row r="203" spans="2:28" s="99" customFormat="1" ht="15.75" customHeight="1" x14ac:dyDescent="0.25"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</row>
    <row r="204" spans="2:28" s="99" customFormat="1" ht="15.75" customHeight="1" x14ac:dyDescent="0.25"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</row>
    <row r="205" spans="2:28" s="99" customFormat="1" ht="15.75" customHeight="1" x14ac:dyDescent="0.25"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</row>
    <row r="206" spans="2:28" s="99" customFormat="1" ht="15.75" customHeight="1" x14ac:dyDescent="0.25"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</row>
    <row r="207" spans="2:28" s="99" customFormat="1" ht="15.75" customHeight="1" x14ac:dyDescent="0.25"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</row>
    <row r="208" spans="2:28" s="99" customFormat="1" ht="15.75" customHeight="1" x14ac:dyDescent="0.25"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</row>
    <row r="209" spans="2:28" s="99" customFormat="1" ht="15.75" customHeight="1" x14ac:dyDescent="0.25"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</row>
    <row r="210" spans="2:28" s="99" customFormat="1" ht="15.75" customHeight="1" x14ac:dyDescent="0.25"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</row>
    <row r="211" spans="2:28" s="99" customFormat="1" ht="15.75" customHeight="1" x14ac:dyDescent="0.25"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</row>
    <row r="212" spans="2:28" s="99" customFormat="1" ht="15.75" customHeight="1" x14ac:dyDescent="0.25"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</row>
    <row r="213" spans="2:28" s="99" customFormat="1" ht="15.75" customHeight="1" x14ac:dyDescent="0.25"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</row>
    <row r="214" spans="2:28" s="99" customFormat="1" ht="15.75" customHeight="1" x14ac:dyDescent="0.25"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</row>
    <row r="215" spans="2:28" s="99" customFormat="1" ht="15.75" customHeight="1" x14ac:dyDescent="0.25"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</row>
    <row r="216" spans="2:28" s="99" customFormat="1" ht="15.75" customHeight="1" x14ac:dyDescent="0.25"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</row>
    <row r="217" spans="2:28" s="99" customFormat="1" ht="15.75" customHeight="1" x14ac:dyDescent="0.25"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</row>
    <row r="218" spans="2:28" s="99" customFormat="1" ht="15.75" customHeight="1" x14ac:dyDescent="0.25"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</row>
    <row r="219" spans="2:28" s="99" customFormat="1" ht="15.75" customHeight="1" x14ac:dyDescent="0.25"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</row>
    <row r="220" spans="2:28" s="99" customFormat="1" ht="15.75" customHeight="1" x14ac:dyDescent="0.25"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</row>
    <row r="221" spans="2:28" s="99" customFormat="1" ht="15.75" customHeight="1" x14ac:dyDescent="0.25"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</row>
    <row r="222" spans="2:28" s="99" customFormat="1" ht="15.75" customHeight="1" x14ac:dyDescent="0.25"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</row>
    <row r="223" spans="2:28" s="99" customFormat="1" ht="15.75" customHeight="1" x14ac:dyDescent="0.25"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</row>
    <row r="224" spans="2:28" s="99" customFormat="1" ht="15.75" customHeight="1" x14ac:dyDescent="0.25"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</row>
    <row r="225" spans="2:28" s="99" customFormat="1" ht="15.75" customHeight="1" x14ac:dyDescent="0.25"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</row>
    <row r="226" spans="2:28" s="99" customFormat="1" ht="15.75" customHeight="1" x14ac:dyDescent="0.25"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</row>
    <row r="227" spans="2:28" s="99" customFormat="1" ht="15.75" customHeight="1" x14ac:dyDescent="0.25"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</row>
    <row r="228" spans="2:28" s="99" customFormat="1" ht="15.75" customHeight="1" x14ac:dyDescent="0.25"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</row>
    <row r="229" spans="2:28" s="99" customFormat="1" ht="15.75" customHeight="1" x14ac:dyDescent="0.25"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</row>
    <row r="230" spans="2:28" s="99" customFormat="1" ht="15.75" customHeight="1" x14ac:dyDescent="0.25"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</row>
    <row r="231" spans="2:28" s="99" customFormat="1" ht="15.75" customHeight="1" x14ac:dyDescent="0.25"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</row>
    <row r="232" spans="2:28" s="99" customFormat="1" ht="15.75" customHeight="1" x14ac:dyDescent="0.25"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</row>
    <row r="233" spans="2:28" s="99" customFormat="1" ht="15.75" customHeight="1" x14ac:dyDescent="0.25"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</row>
    <row r="234" spans="2:28" s="99" customFormat="1" ht="15.75" customHeight="1" x14ac:dyDescent="0.25"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</row>
    <row r="235" spans="2:28" s="99" customFormat="1" ht="15.75" customHeight="1" x14ac:dyDescent="0.25"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</row>
    <row r="236" spans="2:28" s="99" customFormat="1" ht="15.75" customHeight="1" x14ac:dyDescent="0.25"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</row>
    <row r="237" spans="2:28" s="99" customFormat="1" ht="15.75" customHeight="1" x14ac:dyDescent="0.25"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</row>
    <row r="238" spans="2:28" s="99" customFormat="1" ht="15.75" customHeight="1" x14ac:dyDescent="0.25"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</row>
    <row r="239" spans="2:28" s="99" customFormat="1" ht="15.75" customHeight="1" x14ac:dyDescent="0.25"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</row>
    <row r="240" spans="2:28" s="99" customFormat="1" ht="15.75" customHeight="1" x14ac:dyDescent="0.25"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</row>
    <row r="241" spans="2:28" s="99" customFormat="1" ht="15.75" customHeight="1" x14ac:dyDescent="0.25"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</row>
    <row r="242" spans="2:28" s="99" customFormat="1" ht="15.75" customHeight="1" x14ac:dyDescent="0.25"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</row>
    <row r="243" spans="2:28" s="99" customFormat="1" ht="15.75" customHeight="1" x14ac:dyDescent="0.25"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</row>
    <row r="244" spans="2:28" s="99" customFormat="1" ht="15.75" customHeight="1" x14ac:dyDescent="0.25"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</row>
    <row r="245" spans="2:28" s="99" customFormat="1" ht="15.75" customHeight="1" x14ac:dyDescent="0.25"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</row>
    <row r="246" spans="2:28" s="99" customFormat="1" ht="15.75" customHeight="1" x14ac:dyDescent="0.25"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</row>
    <row r="247" spans="2:28" s="99" customFormat="1" ht="15.75" customHeight="1" x14ac:dyDescent="0.25"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</row>
    <row r="248" spans="2:28" s="99" customFormat="1" ht="15.75" customHeight="1" x14ac:dyDescent="0.25"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</row>
    <row r="249" spans="2:28" s="99" customFormat="1" ht="15.75" customHeight="1" x14ac:dyDescent="0.25"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96"/>
    </row>
    <row r="250" spans="2:28" s="99" customFormat="1" ht="15.75" customHeight="1" x14ac:dyDescent="0.25"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</row>
    <row r="251" spans="2:28" s="99" customFormat="1" ht="15.75" customHeight="1" x14ac:dyDescent="0.25"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</row>
    <row r="252" spans="2:28" s="99" customFormat="1" ht="15.75" customHeight="1" x14ac:dyDescent="0.25"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</row>
    <row r="253" spans="2:28" s="99" customFormat="1" ht="15.75" customHeight="1" x14ac:dyDescent="0.25"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</row>
    <row r="254" spans="2:28" s="99" customFormat="1" ht="15.75" customHeight="1" x14ac:dyDescent="0.25"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6"/>
      <c r="AB254" s="96"/>
    </row>
    <row r="255" spans="2:28" s="99" customFormat="1" ht="15.75" customHeight="1" x14ac:dyDescent="0.25"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6"/>
      <c r="AB255" s="96"/>
    </row>
    <row r="256" spans="2:28" s="99" customFormat="1" ht="15.75" customHeight="1" x14ac:dyDescent="0.25"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  <c r="AA256" s="96"/>
      <c r="AB256" s="96"/>
    </row>
    <row r="257" spans="2:28" s="99" customFormat="1" ht="15.75" customHeight="1" x14ac:dyDescent="0.25"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  <c r="AA257" s="96"/>
      <c r="AB257" s="96"/>
    </row>
    <row r="258" spans="2:28" s="99" customFormat="1" ht="15.75" customHeight="1" x14ac:dyDescent="0.25"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6"/>
      <c r="AB258" s="96"/>
    </row>
    <row r="259" spans="2:28" s="99" customFormat="1" ht="15.75" customHeight="1" x14ac:dyDescent="0.25"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  <c r="AA259" s="96"/>
      <c r="AB259" s="96"/>
    </row>
    <row r="260" spans="2:28" s="99" customFormat="1" ht="15.75" customHeight="1" x14ac:dyDescent="0.25"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  <c r="AA260" s="96"/>
      <c r="AB260" s="96"/>
    </row>
    <row r="261" spans="2:28" s="99" customFormat="1" ht="15.75" customHeight="1" x14ac:dyDescent="0.25"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  <c r="AA261" s="96"/>
      <c r="AB261" s="96"/>
    </row>
    <row r="262" spans="2:28" s="99" customFormat="1" ht="15.75" customHeight="1" x14ac:dyDescent="0.25"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  <c r="AA262" s="96"/>
      <c r="AB262" s="96"/>
    </row>
    <row r="263" spans="2:28" s="99" customFormat="1" ht="15.75" customHeight="1" x14ac:dyDescent="0.25"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  <c r="AA263" s="96"/>
      <c r="AB263" s="96"/>
    </row>
    <row r="264" spans="2:28" s="99" customFormat="1" ht="15.75" customHeight="1" x14ac:dyDescent="0.25"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  <c r="AA264" s="96"/>
      <c r="AB264" s="96"/>
    </row>
    <row r="265" spans="2:28" s="99" customFormat="1" ht="15.75" customHeight="1" x14ac:dyDescent="0.25"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  <c r="AA265" s="96"/>
      <c r="AB265" s="96"/>
    </row>
    <row r="266" spans="2:28" s="99" customFormat="1" ht="15.75" customHeight="1" x14ac:dyDescent="0.25"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  <c r="AA266" s="96"/>
      <c r="AB266" s="96"/>
    </row>
    <row r="267" spans="2:28" s="99" customFormat="1" ht="15.75" customHeight="1" x14ac:dyDescent="0.25"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6"/>
      <c r="AB267" s="96"/>
    </row>
    <row r="268" spans="2:28" s="99" customFormat="1" ht="15.75" customHeight="1" x14ac:dyDescent="0.25"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  <c r="AA268" s="96"/>
      <c r="AB268" s="96"/>
    </row>
    <row r="269" spans="2:28" s="99" customFormat="1" ht="15.75" customHeight="1" x14ac:dyDescent="0.25"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  <c r="AA269" s="96"/>
      <c r="AB269" s="96"/>
    </row>
    <row r="270" spans="2:28" s="99" customFormat="1" ht="15.75" customHeight="1" x14ac:dyDescent="0.25"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6"/>
      <c r="AB270" s="96"/>
    </row>
    <row r="271" spans="2:28" s="99" customFormat="1" ht="15.75" customHeight="1" x14ac:dyDescent="0.25"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6"/>
    </row>
    <row r="272" spans="2:28" s="99" customFormat="1" ht="15.75" customHeight="1" x14ac:dyDescent="0.25"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96"/>
    </row>
    <row r="273" spans="2:28" s="99" customFormat="1" ht="15.75" customHeight="1" x14ac:dyDescent="0.25"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96"/>
    </row>
    <row r="274" spans="2:28" s="99" customFormat="1" ht="15.75" customHeight="1" x14ac:dyDescent="0.25"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  <c r="AB274" s="96"/>
    </row>
    <row r="275" spans="2:28" s="99" customFormat="1" ht="15.75" customHeight="1" x14ac:dyDescent="0.25"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96"/>
    </row>
    <row r="276" spans="2:28" s="99" customFormat="1" ht="15.75" customHeight="1" x14ac:dyDescent="0.25"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6"/>
      <c r="AB276" s="96"/>
    </row>
    <row r="277" spans="2:28" s="99" customFormat="1" ht="15.75" customHeight="1" x14ac:dyDescent="0.25"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6"/>
      <c r="AB277" s="96"/>
    </row>
    <row r="278" spans="2:28" s="99" customFormat="1" ht="15.75" customHeight="1" x14ac:dyDescent="0.25"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  <c r="AB278" s="96"/>
    </row>
    <row r="279" spans="2:28" s="99" customFormat="1" ht="15.75" customHeight="1" x14ac:dyDescent="0.25"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6"/>
    </row>
    <row r="280" spans="2:28" s="99" customFormat="1" ht="15.75" customHeight="1" x14ac:dyDescent="0.25"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6"/>
      <c r="AB280" s="96"/>
    </row>
    <row r="281" spans="2:28" s="99" customFormat="1" ht="15.75" customHeight="1" x14ac:dyDescent="0.25"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6"/>
      <c r="AB281" s="96"/>
    </row>
    <row r="282" spans="2:28" s="99" customFormat="1" ht="15.75" customHeight="1" x14ac:dyDescent="0.25"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6"/>
      <c r="AB282" s="96"/>
    </row>
    <row r="283" spans="2:28" s="99" customFormat="1" ht="15.75" customHeight="1" x14ac:dyDescent="0.25"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  <c r="AB283" s="96"/>
    </row>
    <row r="284" spans="2:28" s="99" customFormat="1" ht="15.75" customHeight="1" x14ac:dyDescent="0.25"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  <c r="AB284" s="96"/>
    </row>
    <row r="285" spans="2:28" s="99" customFormat="1" ht="15.75" customHeight="1" x14ac:dyDescent="0.25"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96"/>
    </row>
    <row r="286" spans="2:28" s="99" customFormat="1" ht="15.75" customHeight="1" x14ac:dyDescent="0.25"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  <c r="AB286" s="96"/>
    </row>
    <row r="287" spans="2:28" s="99" customFormat="1" ht="15.75" customHeight="1" x14ac:dyDescent="0.25"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  <c r="AB287" s="96"/>
    </row>
    <row r="288" spans="2:28" s="99" customFormat="1" ht="15.75" customHeight="1" x14ac:dyDescent="0.25"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  <c r="AA288" s="96"/>
      <c r="AB288" s="96"/>
    </row>
    <row r="289" spans="2:28" s="99" customFormat="1" ht="15.75" customHeight="1" x14ac:dyDescent="0.25"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  <c r="AA289" s="96"/>
      <c r="AB289" s="96"/>
    </row>
    <row r="290" spans="2:28" s="99" customFormat="1" ht="15.75" customHeight="1" x14ac:dyDescent="0.25"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  <c r="AA290" s="96"/>
      <c r="AB290" s="96"/>
    </row>
    <row r="291" spans="2:28" s="99" customFormat="1" ht="15.75" customHeight="1" x14ac:dyDescent="0.25"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  <c r="AA291" s="96"/>
      <c r="AB291" s="96"/>
    </row>
    <row r="292" spans="2:28" s="99" customFormat="1" ht="15.75" customHeight="1" x14ac:dyDescent="0.25"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  <c r="AA292" s="96"/>
      <c r="AB292" s="96"/>
    </row>
    <row r="293" spans="2:28" s="99" customFormat="1" ht="15.75" customHeight="1" x14ac:dyDescent="0.25"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  <c r="AA293" s="96"/>
      <c r="AB293" s="96"/>
    </row>
    <row r="294" spans="2:28" s="99" customFormat="1" ht="15.75" customHeight="1" x14ac:dyDescent="0.25"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  <c r="AA294" s="96"/>
      <c r="AB294" s="96"/>
    </row>
    <row r="295" spans="2:28" s="99" customFormat="1" ht="15.75" customHeight="1" x14ac:dyDescent="0.25"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  <c r="AA295" s="96"/>
      <c r="AB295" s="96"/>
    </row>
    <row r="296" spans="2:28" s="99" customFormat="1" ht="15.75" customHeight="1" x14ac:dyDescent="0.25"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  <c r="AA296" s="96"/>
      <c r="AB296" s="96"/>
    </row>
    <row r="297" spans="2:28" s="99" customFormat="1" ht="15.75" customHeight="1" x14ac:dyDescent="0.25"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  <c r="AA297" s="96"/>
      <c r="AB297" s="96"/>
    </row>
    <row r="298" spans="2:28" s="99" customFormat="1" ht="15.75" customHeight="1" x14ac:dyDescent="0.25"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  <c r="AA298" s="96"/>
      <c r="AB298" s="96"/>
    </row>
    <row r="299" spans="2:28" s="99" customFormat="1" ht="15.75" customHeight="1" x14ac:dyDescent="0.25"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  <c r="AA299" s="96"/>
      <c r="AB299" s="96"/>
    </row>
    <row r="300" spans="2:28" s="99" customFormat="1" ht="15.75" customHeight="1" x14ac:dyDescent="0.25"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  <c r="AA300" s="96"/>
      <c r="AB300" s="96"/>
    </row>
    <row r="301" spans="2:28" s="99" customFormat="1" ht="15.75" customHeight="1" x14ac:dyDescent="0.25"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  <c r="AA301" s="96"/>
      <c r="AB301" s="96"/>
    </row>
    <row r="302" spans="2:28" s="99" customFormat="1" ht="15.75" customHeight="1" x14ac:dyDescent="0.25"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  <c r="AA302" s="96"/>
      <c r="AB302" s="96"/>
    </row>
    <row r="303" spans="2:28" s="99" customFormat="1" ht="15.75" customHeight="1" x14ac:dyDescent="0.25"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  <c r="AA303" s="96"/>
      <c r="AB303" s="96"/>
    </row>
    <row r="304" spans="2:28" s="99" customFormat="1" ht="15.75" customHeight="1" x14ac:dyDescent="0.25"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  <c r="AA304" s="96"/>
      <c r="AB304" s="96"/>
    </row>
    <row r="305" spans="2:28" s="99" customFormat="1" ht="15.75" customHeight="1" x14ac:dyDescent="0.25"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  <c r="AA305" s="96"/>
      <c r="AB305" s="96"/>
    </row>
    <row r="306" spans="2:28" s="99" customFormat="1" ht="15.75" customHeight="1" x14ac:dyDescent="0.25"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  <c r="AA306" s="96"/>
      <c r="AB306" s="96"/>
    </row>
    <row r="307" spans="2:28" s="99" customFormat="1" ht="15.75" customHeight="1" x14ac:dyDescent="0.25"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  <c r="AA307" s="96"/>
      <c r="AB307" s="96"/>
    </row>
    <row r="308" spans="2:28" s="99" customFormat="1" ht="15.75" customHeight="1" x14ac:dyDescent="0.25"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  <c r="AA308" s="96"/>
      <c r="AB308" s="96"/>
    </row>
    <row r="309" spans="2:28" s="99" customFormat="1" ht="15.75" customHeight="1" x14ac:dyDescent="0.25"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  <c r="AA309" s="96"/>
      <c r="AB309" s="96"/>
    </row>
    <row r="310" spans="2:28" s="99" customFormat="1" ht="15.75" customHeight="1" x14ac:dyDescent="0.25"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  <c r="AA310" s="96"/>
      <c r="AB310" s="96"/>
    </row>
    <row r="311" spans="2:28" s="99" customFormat="1" ht="15.75" customHeight="1" x14ac:dyDescent="0.25"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  <c r="AA311" s="96"/>
      <c r="AB311" s="96"/>
    </row>
    <row r="312" spans="2:28" s="99" customFormat="1" ht="15.75" customHeight="1" x14ac:dyDescent="0.25"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  <c r="AA312" s="96"/>
      <c r="AB312" s="96"/>
    </row>
    <row r="313" spans="2:28" s="99" customFormat="1" ht="15.75" customHeight="1" x14ac:dyDescent="0.25"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  <c r="AA313" s="96"/>
      <c r="AB313" s="96"/>
    </row>
    <row r="314" spans="2:28" s="99" customFormat="1" ht="15.75" customHeight="1" x14ac:dyDescent="0.25"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  <c r="AA314" s="96"/>
      <c r="AB314" s="96"/>
    </row>
    <row r="315" spans="2:28" s="99" customFormat="1" ht="15.75" customHeight="1" x14ac:dyDescent="0.25"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  <c r="AA315" s="96"/>
      <c r="AB315" s="96"/>
    </row>
    <row r="316" spans="2:28" s="99" customFormat="1" ht="15.75" customHeight="1" x14ac:dyDescent="0.25"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  <c r="AA316" s="96"/>
      <c r="AB316" s="96"/>
    </row>
    <row r="317" spans="2:28" s="99" customFormat="1" ht="15.75" customHeight="1" x14ac:dyDescent="0.25"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  <c r="AA317" s="96"/>
      <c r="AB317" s="96"/>
    </row>
    <row r="318" spans="2:28" s="99" customFormat="1" ht="15.75" customHeight="1" x14ac:dyDescent="0.25"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  <c r="AA318" s="96"/>
      <c r="AB318" s="96"/>
    </row>
    <row r="319" spans="2:28" s="99" customFormat="1" ht="15.75" customHeight="1" x14ac:dyDescent="0.25"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  <c r="AA319" s="96"/>
      <c r="AB319" s="96"/>
    </row>
    <row r="320" spans="2:28" s="99" customFormat="1" ht="15.75" customHeight="1" x14ac:dyDescent="0.25"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  <c r="AA320" s="96"/>
      <c r="AB320" s="96"/>
    </row>
    <row r="321" spans="2:28" s="99" customFormat="1" ht="15.75" customHeight="1" x14ac:dyDescent="0.25"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  <c r="AA321" s="96"/>
      <c r="AB321" s="96"/>
    </row>
    <row r="322" spans="2:28" s="99" customFormat="1" ht="15.75" customHeight="1" x14ac:dyDescent="0.25"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  <c r="AA322" s="96"/>
      <c r="AB322" s="96"/>
    </row>
    <row r="323" spans="2:28" s="99" customFormat="1" ht="15.75" customHeight="1" x14ac:dyDescent="0.25"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  <c r="AA323" s="96"/>
      <c r="AB323" s="96"/>
    </row>
    <row r="324" spans="2:28" s="99" customFormat="1" ht="15.75" customHeight="1" x14ac:dyDescent="0.25"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  <c r="AA324" s="96"/>
      <c r="AB324" s="96"/>
    </row>
    <row r="325" spans="2:28" s="99" customFormat="1" ht="15.75" customHeight="1" x14ac:dyDescent="0.25"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  <c r="AA325" s="96"/>
      <c r="AB325" s="96"/>
    </row>
    <row r="326" spans="2:28" s="99" customFormat="1" ht="15.75" customHeight="1" x14ac:dyDescent="0.25"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  <c r="AA326" s="96"/>
      <c r="AB326" s="96"/>
    </row>
    <row r="327" spans="2:28" s="99" customFormat="1" ht="15.75" customHeight="1" x14ac:dyDescent="0.25"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  <c r="AA327" s="96"/>
      <c r="AB327" s="96"/>
    </row>
    <row r="328" spans="2:28" s="99" customFormat="1" ht="15.75" customHeight="1" x14ac:dyDescent="0.25"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  <c r="AA328" s="96"/>
      <c r="AB328" s="96"/>
    </row>
    <row r="329" spans="2:28" s="99" customFormat="1" ht="15.75" customHeight="1" x14ac:dyDescent="0.25"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  <c r="AA329" s="96"/>
      <c r="AB329" s="96"/>
    </row>
    <row r="330" spans="2:28" s="99" customFormat="1" ht="15.75" customHeight="1" x14ac:dyDescent="0.25"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  <c r="AA330" s="96"/>
      <c r="AB330" s="96"/>
    </row>
    <row r="331" spans="2:28" s="99" customFormat="1" ht="15.75" customHeight="1" x14ac:dyDescent="0.25"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  <c r="AA331" s="96"/>
      <c r="AB331" s="96"/>
    </row>
    <row r="332" spans="2:28" s="99" customFormat="1" ht="15.75" customHeight="1" x14ac:dyDescent="0.25"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  <c r="AA332" s="96"/>
      <c r="AB332" s="96"/>
    </row>
    <row r="333" spans="2:28" s="99" customFormat="1" ht="15.75" customHeight="1" x14ac:dyDescent="0.25"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  <c r="AA333" s="96"/>
      <c r="AB333" s="96"/>
    </row>
    <row r="334" spans="2:28" s="99" customFormat="1" ht="15.75" customHeight="1" x14ac:dyDescent="0.25"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  <c r="AA334" s="96"/>
      <c r="AB334" s="96"/>
    </row>
    <row r="335" spans="2:28" s="99" customFormat="1" ht="15.75" customHeight="1" x14ac:dyDescent="0.25"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  <c r="AA335" s="96"/>
      <c r="AB335" s="96"/>
    </row>
    <row r="336" spans="2:28" s="99" customFormat="1" ht="15.75" customHeight="1" x14ac:dyDescent="0.25"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  <c r="AA336" s="96"/>
      <c r="AB336" s="96"/>
    </row>
    <row r="337" spans="2:28" s="99" customFormat="1" ht="15.75" customHeight="1" x14ac:dyDescent="0.25"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  <c r="AA337" s="96"/>
      <c r="AB337" s="96"/>
    </row>
    <row r="338" spans="2:28" s="99" customFormat="1" ht="15.75" customHeight="1" x14ac:dyDescent="0.25"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  <c r="AA338" s="96"/>
      <c r="AB338" s="96"/>
    </row>
    <row r="339" spans="2:28" s="99" customFormat="1" ht="15.75" customHeight="1" x14ac:dyDescent="0.25"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  <c r="AA339" s="96"/>
      <c r="AB339" s="96"/>
    </row>
    <row r="340" spans="2:28" s="99" customFormat="1" ht="15.75" customHeight="1" x14ac:dyDescent="0.25"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  <c r="AA340" s="96"/>
      <c r="AB340" s="96"/>
    </row>
    <row r="341" spans="2:28" s="99" customFormat="1" ht="15.75" customHeight="1" x14ac:dyDescent="0.25"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  <c r="AA341" s="96"/>
      <c r="AB341" s="96"/>
    </row>
    <row r="342" spans="2:28" s="99" customFormat="1" ht="15.75" customHeight="1" x14ac:dyDescent="0.25"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  <c r="AA342" s="96"/>
      <c r="AB342" s="96"/>
    </row>
    <row r="343" spans="2:28" s="99" customFormat="1" ht="15.75" customHeight="1" x14ac:dyDescent="0.25"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  <c r="AA343" s="96"/>
      <c r="AB343" s="96"/>
    </row>
    <row r="344" spans="2:28" s="99" customFormat="1" ht="15.75" customHeight="1" x14ac:dyDescent="0.25"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  <c r="AA344" s="96"/>
      <c r="AB344" s="96"/>
    </row>
    <row r="345" spans="2:28" s="99" customFormat="1" ht="15.75" customHeight="1" x14ac:dyDescent="0.25"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  <c r="AA345" s="96"/>
      <c r="AB345" s="96"/>
    </row>
    <row r="346" spans="2:28" s="99" customFormat="1" ht="15.75" customHeight="1" x14ac:dyDescent="0.25"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  <c r="AA346" s="96"/>
      <c r="AB346" s="96"/>
    </row>
    <row r="347" spans="2:28" s="99" customFormat="1" ht="15.75" customHeight="1" x14ac:dyDescent="0.25"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  <c r="AA347" s="96"/>
      <c r="AB347" s="96"/>
    </row>
    <row r="348" spans="2:28" s="99" customFormat="1" ht="15.75" customHeight="1" x14ac:dyDescent="0.25"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  <c r="AA348" s="96"/>
      <c r="AB348" s="96"/>
    </row>
    <row r="349" spans="2:28" s="99" customFormat="1" ht="15.75" customHeight="1" x14ac:dyDescent="0.25"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  <c r="AA349" s="96"/>
      <c r="AB349" s="96"/>
    </row>
    <row r="350" spans="2:28" s="99" customFormat="1" ht="15.75" customHeight="1" x14ac:dyDescent="0.25"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  <c r="AA350" s="96"/>
      <c r="AB350" s="96"/>
    </row>
    <row r="351" spans="2:28" s="99" customFormat="1" ht="15.75" customHeight="1" x14ac:dyDescent="0.25"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  <c r="AA351" s="96"/>
      <c r="AB351" s="96"/>
    </row>
    <row r="352" spans="2:28" s="99" customFormat="1" ht="15.75" customHeight="1" x14ac:dyDescent="0.25"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  <c r="AA352" s="96"/>
      <c r="AB352" s="96"/>
    </row>
    <row r="353" spans="2:28" s="99" customFormat="1" ht="15.75" customHeight="1" x14ac:dyDescent="0.25"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  <c r="AA353" s="96"/>
      <c r="AB353" s="96"/>
    </row>
    <row r="354" spans="2:28" s="99" customFormat="1" ht="15.75" customHeight="1" x14ac:dyDescent="0.25"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  <c r="AA354" s="96"/>
      <c r="AB354" s="96"/>
    </row>
    <row r="355" spans="2:28" s="99" customFormat="1" ht="15.75" customHeight="1" x14ac:dyDescent="0.25"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  <c r="AA355" s="96"/>
      <c r="AB355" s="96"/>
    </row>
    <row r="356" spans="2:28" s="99" customFormat="1" ht="15.75" customHeight="1" x14ac:dyDescent="0.25"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  <c r="AA356" s="96"/>
      <c r="AB356" s="96"/>
    </row>
    <row r="357" spans="2:28" s="99" customFormat="1" ht="15.75" customHeight="1" x14ac:dyDescent="0.25"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  <c r="AA357" s="96"/>
      <c r="AB357" s="96"/>
    </row>
    <row r="358" spans="2:28" s="99" customFormat="1" ht="15.75" customHeight="1" x14ac:dyDescent="0.25"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  <c r="AA358" s="96"/>
      <c r="AB358" s="96"/>
    </row>
    <row r="359" spans="2:28" s="99" customFormat="1" ht="15.75" customHeight="1" x14ac:dyDescent="0.25"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  <c r="AA359" s="96"/>
      <c r="AB359" s="96"/>
    </row>
    <row r="360" spans="2:28" s="99" customFormat="1" ht="15.75" customHeight="1" x14ac:dyDescent="0.25"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  <c r="AA360" s="96"/>
      <c r="AB360" s="96"/>
    </row>
    <row r="361" spans="2:28" s="99" customFormat="1" ht="15.75" customHeight="1" x14ac:dyDescent="0.25"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  <c r="AA361" s="96"/>
      <c r="AB361" s="96"/>
    </row>
    <row r="362" spans="2:28" s="99" customFormat="1" ht="15.75" customHeight="1" x14ac:dyDescent="0.25"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  <c r="AA362" s="96"/>
      <c r="AB362" s="96"/>
    </row>
    <row r="363" spans="2:28" s="99" customFormat="1" ht="15.75" customHeight="1" x14ac:dyDescent="0.25"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  <c r="AA363" s="96"/>
      <c r="AB363" s="96"/>
    </row>
    <row r="364" spans="2:28" s="99" customFormat="1" ht="15.75" customHeight="1" x14ac:dyDescent="0.25"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  <c r="AA364" s="96"/>
      <c r="AB364" s="96"/>
    </row>
    <row r="365" spans="2:28" s="99" customFormat="1" ht="15.75" customHeight="1" x14ac:dyDescent="0.25"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  <c r="AA365" s="96"/>
      <c r="AB365" s="96"/>
    </row>
    <row r="366" spans="2:28" s="99" customFormat="1" ht="15.75" customHeight="1" x14ac:dyDescent="0.25"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  <c r="AA366" s="96"/>
      <c r="AB366" s="96"/>
    </row>
    <row r="367" spans="2:28" s="99" customFormat="1" ht="15.75" customHeight="1" x14ac:dyDescent="0.25"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  <c r="AA367" s="96"/>
      <c r="AB367" s="96"/>
    </row>
    <row r="368" spans="2:28" s="99" customFormat="1" ht="15.75" customHeight="1" x14ac:dyDescent="0.25"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  <c r="AA368" s="96"/>
      <c r="AB368" s="96"/>
    </row>
    <row r="369" spans="2:28" s="99" customFormat="1" ht="15.75" customHeight="1" x14ac:dyDescent="0.25"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  <c r="AA369" s="96"/>
      <c r="AB369" s="96"/>
    </row>
    <row r="370" spans="2:28" s="99" customFormat="1" ht="15.75" customHeight="1" x14ac:dyDescent="0.25"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  <c r="AA370" s="96"/>
      <c r="AB370" s="96"/>
    </row>
    <row r="371" spans="2:28" s="99" customFormat="1" ht="15.75" customHeight="1" x14ac:dyDescent="0.25"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  <c r="AA371" s="96"/>
      <c r="AB371" s="96"/>
    </row>
    <row r="372" spans="2:28" s="99" customFormat="1" ht="15.75" customHeight="1" x14ac:dyDescent="0.25"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  <c r="AA372" s="96"/>
      <c r="AB372" s="96"/>
    </row>
    <row r="373" spans="2:28" s="99" customFormat="1" ht="15.75" customHeight="1" x14ac:dyDescent="0.25"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  <c r="AA373" s="96"/>
      <c r="AB373" s="96"/>
    </row>
    <row r="374" spans="2:28" s="99" customFormat="1" ht="15.75" customHeight="1" x14ac:dyDescent="0.25"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  <c r="AA374" s="96"/>
      <c r="AB374" s="96"/>
    </row>
    <row r="375" spans="2:28" s="99" customFormat="1" ht="15.75" customHeight="1" x14ac:dyDescent="0.25"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  <c r="AA375" s="96"/>
      <c r="AB375" s="96"/>
    </row>
    <row r="376" spans="2:28" s="99" customFormat="1" ht="15.75" customHeight="1" x14ac:dyDescent="0.25"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  <c r="AA376" s="96"/>
      <c r="AB376" s="96"/>
    </row>
    <row r="377" spans="2:28" s="99" customFormat="1" ht="15.75" customHeight="1" x14ac:dyDescent="0.25"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  <c r="AA377" s="96"/>
      <c r="AB377" s="96"/>
    </row>
    <row r="378" spans="2:28" s="99" customFormat="1" ht="15.75" customHeight="1" x14ac:dyDescent="0.25"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  <c r="AA378" s="96"/>
      <c r="AB378" s="96"/>
    </row>
    <row r="379" spans="2:28" s="99" customFormat="1" ht="15.75" customHeight="1" x14ac:dyDescent="0.25"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  <c r="AA379" s="96"/>
      <c r="AB379" s="96"/>
    </row>
    <row r="380" spans="2:28" s="99" customFormat="1" ht="15.75" customHeight="1" x14ac:dyDescent="0.25"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  <c r="AA380" s="96"/>
      <c r="AB380" s="96"/>
    </row>
    <row r="381" spans="2:28" s="99" customFormat="1" ht="15.75" customHeight="1" x14ac:dyDescent="0.25"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  <c r="AA381" s="96"/>
      <c r="AB381" s="96"/>
    </row>
    <row r="382" spans="2:28" s="99" customFormat="1" ht="15.75" customHeight="1" x14ac:dyDescent="0.25"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  <c r="AA382" s="96"/>
      <c r="AB382" s="96"/>
    </row>
    <row r="383" spans="2:28" s="99" customFormat="1" ht="15.75" customHeight="1" x14ac:dyDescent="0.25"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  <c r="AA383" s="96"/>
      <c r="AB383" s="96"/>
    </row>
    <row r="384" spans="2:28" s="99" customFormat="1" ht="15.75" customHeight="1" x14ac:dyDescent="0.25"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  <c r="AA384" s="96"/>
      <c r="AB384" s="96"/>
    </row>
    <row r="385" spans="2:28" s="99" customFormat="1" ht="15.75" customHeight="1" x14ac:dyDescent="0.25"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  <c r="AA385" s="96"/>
      <c r="AB385" s="96"/>
    </row>
    <row r="386" spans="2:28" s="99" customFormat="1" ht="15.75" customHeight="1" x14ac:dyDescent="0.25"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  <c r="AA386" s="96"/>
      <c r="AB386" s="96"/>
    </row>
    <row r="387" spans="2:28" s="99" customFormat="1" ht="15.75" customHeight="1" x14ac:dyDescent="0.25"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  <c r="AA387" s="96"/>
      <c r="AB387" s="96"/>
    </row>
    <row r="388" spans="2:28" s="99" customFormat="1" ht="15.75" customHeight="1" x14ac:dyDescent="0.25"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  <c r="AA388" s="96"/>
      <c r="AB388" s="96"/>
    </row>
    <row r="389" spans="2:28" s="99" customFormat="1" ht="15.75" customHeight="1" x14ac:dyDescent="0.25"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  <c r="AA389" s="96"/>
      <c r="AB389" s="96"/>
    </row>
    <row r="390" spans="2:28" s="99" customFormat="1" ht="15.75" customHeight="1" x14ac:dyDescent="0.25"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  <c r="AA390" s="96"/>
      <c r="AB390" s="96"/>
    </row>
    <row r="391" spans="2:28" s="99" customFormat="1" ht="15.75" customHeight="1" x14ac:dyDescent="0.25"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  <c r="AA391" s="96"/>
      <c r="AB391" s="96"/>
    </row>
    <row r="392" spans="2:28" s="99" customFormat="1" ht="15.75" customHeight="1" x14ac:dyDescent="0.25"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  <c r="AA392" s="96"/>
      <c r="AB392" s="96"/>
    </row>
    <row r="393" spans="2:28" s="99" customFormat="1" ht="15.75" customHeight="1" x14ac:dyDescent="0.25"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  <c r="AA393" s="96"/>
      <c r="AB393" s="96"/>
    </row>
    <row r="394" spans="2:28" s="99" customFormat="1" ht="15.75" customHeight="1" x14ac:dyDescent="0.25"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  <c r="AA394" s="96"/>
      <c r="AB394" s="96"/>
    </row>
    <row r="395" spans="2:28" s="99" customFormat="1" ht="15.75" customHeight="1" x14ac:dyDescent="0.25"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  <c r="AA395" s="96"/>
      <c r="AB395" s="96"/>
    </row>
    <row r="396" spans="2:28" s="99" customFormat="1" ht="15.75" customHeight="1" x14ac:dyDescent="0.25"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  <c r="AA396" s="96"/>
      <c r="AB396" s="96"/>
    </row>
    <row r="397" spans="2:28" s="99" customFormat="1" ht="15.75" customHeight="1" x14ac:dyDescent="0.25"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  <c r="AA397" s="96"/>
      <c r="AB397" s="96"/>
    </row>
    <row r="398" spans="2:28" s="99" customFormat="1" ht="15.75" customHeight="1" x14ac:dyDescent="0.25"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  <c r="AA398" s="96"/>
      <c r="AB398" s="96"/>
    </row>
    <row r="399" spans="2:28" s="99" customFormat="1" ht="15.75" customHeight="1" x14ac:dyDescent="0.25"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  <c r="AA399" s="96"/>
      <c r="AB399" s="96"/>
    </row>
    <row r="400" spans="2:28" s="99" customFormat="1" ht="15.75" customHeight="1" x14ac:dyDescent="0.25"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  <c r="AA400" s="96"/>
      <c r="AB400" s="96"/>
    </row>
    <row r="401" spans="2:28" s="99" customFormat="1" ht="15.75" customHeight="1" x14ac:dyDescent="0.25"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  <c r="AA401" s="96"/>
      <c r="AB401" s="96"/>
    </row>
    <row r="402" spans="2:28" s="99" customFormat="1" ht="15.75" customHeight="1" x14ac:dyDescent="0.25"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  <c r="AA402" s="96"/>
      <c r="AB402" s="96"/>
    </row>
    <row r="403" spans="2:28" s="99" customFormat="1" ht="15.75" customHeight="1" x14ac:dyDescent="0.25"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  <c r="AA403" s="96"/>
      <c r="AB403" s="96"/>
    </row>
    <row r="404" spans="2:28" s="99" customFormat="1" ht="15.75" customHeight="1" x14ac:dyDescent="0.25"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  <c r="AA404" s="96"/>
      <c r="AB404" s="96"/>
    </row>
    <row r="405" spans="2:28" s="99" customFormat="1" ht="15.75" customHeight="1" x14ac:dyDescent="0.25"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  <c r="AA405" s="96"/>
      <c r="AB405" s="96"/>
    </row>
    <row r="406" spans="2:28" s="99" customFormat="1" ht="15.75" customHeight="1" x14ac:dyDescent="0.25"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  <c r="AA406" s="96"/>
      <c r="AB406" s="96"/>
    </row>
    <row r="407" spans="2:28" s="99" customFormat="1" ht="15.75" customHeight="1" x14ac:dyDescent="0.25"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  <c r="AA407" s="96"/>
      <c r="AB407" s="96"/>
    </row>
    <row r="408" spans="2:28" s="99" customFormat="1" ht="15.75" customHeight="1" x14ac:dyDescent="0.25"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  <c r="AA408" s="96"/>
      <c r="AB408" s="96"/>
    </row>
    <row r="409" spans="2:28" s="99" customFormat="1" ht="15.75" customHeight="1" x14ac:dyDescent="0.25"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  <c r="AA409" s="96"/>
      <c r="AB409" s="96"/>
    </row>
    <row r="410" spans="2:28" s="99" customFormat="1" ht="15.75" customHeight="1" x14ac:dyDescent="0.25"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  <c r="AA410" s="96"/>
      <c r="AB410" s="96"/>
    </row>
    <row r="411" spans="2:28" s="99" customFormat="1" ht="15.75" customHeight="1" x14ac:dyDescent="0.25"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  <c r="AA411" s="96"/>
      <c r="AB411" s="96"/>
    </row>
    <row r="412" spans="2:28" s="99" customFormat="1" ht="15.75" customHeight="1" x14ac:dyDescent="0.25"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  <c r="AA412" s="96"/>
      <c r="AB412" s="96"/>
    </row>
    <row r="413" spans="2:28" s="99" customFormat="1" ht="15.75" customHeight="1" x14ac:dyDescent="0.25"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  <c r="AA413" s="96"/>
      <c r="AB413" s="96"/>
    </row>
    <row r="414" spans="2:28" s="99" customFormat="1" ht="15.75" customHeight="1" x14ac:dyDescent="0.25"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  <c r="AA414" s="96"/>
      <c r="AB414" s="96"/>
    </row>
    <row r="415" spans="2:28" s="99" customFormat="1" ht="15.75" customHeight="1" x14ac:dyDescent="0.25"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  <c r="AA415" s="96"/>
      <c r="AB415" s="96"/>
    </row>
    <row r="416" spans="2:28" s="99" customFormat="1" ht="15.75" customHeight="1" x14ac:dyDescent="0.25"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  <c r="AA416" s="96"/>
      <c r="AB416" s="96"/>
    </row>
    <row r="417" spans="2:28" s="99" customFormat="1" ht="15.75" customHeight="1" x14ac:dyDescent="0.25"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  <c r="AA417" s="96"/>
      <c r="AB417" s="96"/>
    </row>
    <row r="418" spans="2:28" s="99" customFormat="1" ht="15.75" customHeight="1" x14ac:dyDescent="0.25"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  <c r="AA418" s="96"/>
      <c r="AB418" s="96"/>
    </row>
    <row r="419" spans="2:28" s="99" customFormat="1" ht="15.75" customHeight="1" x14ac:dyDescent="0.25"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  <c r="AA419" s="96"/>
      <c r="AB419" s="96"/>
    </row>
    <row r="420" spans="2:28" s="99" customFormat="1" ht="15.75" customHeight="1" x14ac:dyDescent="0.25"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  <c r="AA420" s="96"/>
      <c r="AB420" s="96"/>
    </row>
    <row r="421" spans="2:28" s="99" customFormat="1" ht="15.75" customHeight="1" x14ac:dyDescent="0.25"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  <c r="AA421" s="96"/>
      <c r="AB421" s="96"/>
    </row>
    <row r="422" spans="2:28" s="99" customFormat="1" ht="15.75" customHeight="1" x14ac:dyDescent="0.25"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  <c r="AA422" s="96"/>
      <c r="AB422" s="96"/>
    </row>
    <row r="423" spans="2:28" s="99" customFormat="1" ht="15.75" customHeight="1" x14ac:dyDescent="0.25"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  <c r="AA423" s="96"/>
      <c r="AB423" s="96"/>
    </row>
    <row r="424" spans="2:28" s="99" customFormat="1" ht="15.75" customHeight="1" x14ac:dyDescent="0.25"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  <c r="AA424" s="96"/>
      <c r="AB424" s="96"/>
    </row>
    <row r="425" spans="2:28" s="99" customFormat="1" ht="15.75" customHeight="1" x14ac:dyDescent="0.25"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  <c r="AA425" s="96"/>
      <c r="AB425" s="96"/>
    </row>
    <row r="426" spans="2:28" s="99" customFormat="1" ht="15.75" customHeight="1" x14ac:dyDescent="0.25"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  <c r="AA426" s="96"/>
      <c r="AB426" s="96"/>
    </row>
    <row r="427" spans="2:28" s="99" customFormat="1" ht="15.75" customHeight="1" x14ac:dyDescent="0.25"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  <c r="AA427" s="96"/>
      <c r="AB427" s="96"/>
    </row>
    <row r="428" spans="2:28" s="99" customFormat="1" ht="15.75" customHeight="1" x14ac:dyDescent="0.25"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  <c r="AA428" s="96"/>
      <c r="AB428" s="96"/>
    </row>
    <row r="429" spans="2:28" s="99" customFormat="1" ht="15.75" customHeight="1" x14ac:dyDescent="0.25"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  <c r="AA429" s="96"/>
      <c r="AB429" s="96"/>
    </row>
    <row r="430" spans="2:28" s="99" customFormat="1" ht="15.75" customHeight="1" x14ac:dyDescent="0.25"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  <c r="AA430" s="96"/>
      <c r="AB430" s="96"/>
    </row>
    <row r="431" spans="2:28" s="99" customFormat="1" ht="15.75" customHeight="1" x14ac:dyDescent="0.25"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  <c r="AA431" s="96"/>
      <c r="AB431" s="96"/>
    </row>
    <row r="432" spans="2:28" s="99" customFormat="1" ht="15.75" customHeight="1" x14ac:dyDescent="0.25"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  <c r="AA432" s="96"/>
      <c r="AB432" s="96"/>
    </row>
    <row r="433" spans="2:28" s="99" customFormat="1" ht="15.75" customHeight="1" x14ac:dyDescent="0.25"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  <c r="AA433" s="96"/>
      <c r="AB433" s="96"/>
    </row>
    <row r="434" spans="2:28" s="99" customFormat="1" ht="15.75" customHeight="1" x14ac:dyDescent="0.25"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  <c r="AA434" s="96"/>
      <c r="AB434" s="96"/>
    </row>
    <row r="435" spans="2:28" s="99" customFormat="1" ht="15.75" customHeight="1" x14ac:dyDescent="0.25"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  <c r="AA435" s="96"/>
      <c r="AB435" s="96"/>
    </row>
    <row r="436" spans="2:28" s="99" customFormat="1" ht="15.75" customHeight="1" x14ac:dyDescent="0.25"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  <c r="AA436" s="96"/>
      <c r="AB436" s="96"/>
    </row>
    <row r="437" spans="2:28" s="99" customFormat="1" ht="15.75" customHeight="1" x14ac:dyDescent="0.25"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  <c r="AA437" s="96"/>
      <c r="AB437" s="96"/>
    </row>
    <row r="438" spans="2:28" s="99" customFormat="1" ht="15.75" customHeight="1" x14ac:dyDescent="0.25"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  <c r="AA438" s="96"/>
      <c r="AB438" s="96"/>
    </row>
    <row r="439" spans="2:28" s="99" customFormat="1" ht="15.75" customHeight="1" x14ac:dyDescent="0.25"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  <c r="AA439" s="96"/>
      <c r="AB439" s="96"/>
    </row>
    <row r="440" spans="2:28" s="99" customFormat="1" ht="15.75" customHeight="1" x14ac:dyDescent="0.25"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  <c r="AA440" s="96"/>
      <c r="AB440" s="96"/>
    </row>
    <row r="441" spans="2:28" s="99" customFormat="1" ht="15.75" customHeight="1" x14ac:dyDescent="0.25"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  <c r="AA441" s="96"/>
      <c r="AB441" s="96"/>
    </row>
    <row r="442" spans="2:28" s="99" customFormat="1" ht="15.75" customHeight="1" x14ac:dyDescent="0.25"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  <c r="AA442" s="96"/>
      <c r="AB442" s="96"/>
    </row>
    <row r="443" spans="2:28" s="99" customFormat="1" ht="15.75" customHeight="1" x14ac:dyDescent="0.25"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  <c r="AA443" s="96"/>
      <c r="AB443" s="96"/>
    </row>
    <row r="444" spans="2:28" s="99" customFormat="1" ht="15.75" customHeight="1" x14ac:dyDescent="0.25"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  <c r="AA444" s="96"/>
      <c r="AB444" s="96"/>
    </row>
    <row r="445" spans="2:28" s="99" customFormat="1" ht="15.75" customHeight="1" x14ac:dyDescent="0.25"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  <c r="AA445" s="96"/>
      <c r="AB445" s="96"/>
    </row>
    <row r="446" spans="2:28" s="99" customFormat="1" ht="15.75" customHeight="1" x14ac:dyDescent="0.25"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  <c r="AA446" s="96"/>
      <c r="AB446" s="96"/>
    </row>
    <row r="447" spans="2:28" s="99" customFormat="1" ht="15.75" customHeight="1" x14ac:dyDescent="0.25"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  <c r="AA447" s="96"/>
      <c r="AB447" s="96"/>
    </row>
    <row r="448" spans="2:28" s="99" customFormat="1" ht="15.75" customHeight="1" x14ac:dyDescent="0.25"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  <c r="AA448" s="96"/>
      <c r="AB448" s="96"/>
    </row>
    <row r="449" spans="2:28" s="99" customFormat="1" ht="15.75" customHeight="1" x14ac:dyDescent="0.25"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  <c r="AA449" s="96"/>
      <c r="AB449" s="96"/>
    </row>
    <row r="450" spans="2:28" s="99" customFormat="1" ht="15.75" customHeight="1" x14ac:dyDescent="0.25"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  <c r="AA450" s="96"/>
      <c r="AB450" s="96"/>
    </row>
    <row r="451" spans="2:28" s="99" customFormat="1" ht="15.75" customHeight="1" x14ac:dyDescent="0.25"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  <c r="AA451" s="96"/>
      <c r="AB451" s="96"/>
    </row>
    <row r="452" spans="2:28" s="99" customFormat="1" ht="15.75" customHeight="1" x14ac:dyDescent="0.25"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  <c r="AA452" s="96"/>
      <c r="AB452" s="96"/>
    </row>
    <row r="453" spans="2:28" s="99" customFormat="1" ht="15.75" customHeight="1" x14ac:dyDescent="0.25"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  <c r="AA453" s="96"/>
      <c r="AB453" s="96"/>
    </row>
    <row r="454" spans="2:28" s="99" customFormat="1" ht="15.75" customHeight="1" x14ac:dyDescent="0.25"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  <c r="AA454" s="96"/>
      <c r="AB454" s="96"/>
    </row>
    <row r="455" spans="2:28" s="99" customFormat="1" ht="15.75" customHeight="1" x14ac:dyDescent="0.25"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  <c r="AA455" s="96"/>
      <c r="AB455" s="96"/>
    </row>
    <row r="456" spans="2:28" s="99" customFormat="1" ht="15.75" customHeight="1" x14ac:dyDescent="0.25"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  <c r="AA456" s="96"/>
      <c r="AB456" s="96"/>
    </row>
    <row r="457" spans="2:28" s="99" customFormat="1" ht="15.75" customHeight="1" x14ac:dyDescent="0.25"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  <c r="AA457" s="96"/>
      <c r="AB457" s="96"/>
    </row>
    <row r="458" spans="2:28" s="99" customFormat="1" ht="15.75" customHeight="1" x14ac:dyDescent="0.25"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  <c r="AA458" s="96"/>
      <c r="AB458" s="96"/>
    </row>
    <row r="459" spans="2:28" s="99" customFormat="1" ht="15.75" customHeight="1" x14ac:dyDescent="0.25"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  <c r="AA459" s="96"/>
      <c r="AB459" s="96"/>
    </row>
    <row r="460" spans="2:28" s="99" customFormat="1" ht="15.75" customHeight="1" x14ac:dyDescent="0.25"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  <c r="AA460" s="96"/>
      <c r="AB460" s="96"/>
    </row>
    <row r="461" spans="2:28" s="99" customFormat="1" ht="15.75" customHeight="1" x14ac:dyDescent="0.25"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  <c r="AA461" s="96"/>
      <c r="AB461" s="96"/>
    </row>
    <row r="462" spans="2:28" s="99" customFormat="1" ht="15.75" customHeight="1" x14ac:dyDescent="0.25"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  <c r="AA462" s="96"/>
      <c r="AB462" s="96"/>
    </row>
    <row r="463" spans="2:28" s="99" customFormat="1" ht="15.75" customHeight="1" x14ac:dyDescent="0.25"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  <c r="AA463" s="96"/>
      <c r="AB463" s="96"/>
    </row>
    <row r="464" spans="2:28" s="99" customFormat="1" ht="15.75" customHeight="1" x14ac:dyDescent="0.25"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  <c r="AA464" s="96"/>
      <c r="AB464" s="96"/>
    </row>
    <row r="465" spans="2:28" s="99" customFormat="1" ht="15.75" customHeight="1" x14ac:dyDescent="0.25"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  <c r="AA465" s="96"/>
      <c r="AB465" s="96"/>
    </row>
    <row r="466" spans="2:28" s="99" customFormat="1" ht="15.75" customHeight="1" x14ac:dyDescent="0.25"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  <c r="AA466" s="96"/>
      <c r="AB466" s="96"/>
    </row>
    <row r="467" spans="2:28" s="99" customFormat="1" ht="15.75" customHeight="1" x14ac:dyDescent="0.25"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  <c r="AA467" s="96"/>
      <c r="AB467" s="96"/>
    </row>
    <row r="468" spans="2:28" s="99" customFormat="1" ht="15.75" customHeight="1" x14ac:dyDescent="0.25"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  <c r="AA468" s="96"/>
      <c r="AB468" s="96"/>
    </row>
    <row r="469" spans="2:28" s="99" customFormat="1" ht="15.75" customHeight="1" x14ac:dyDescent="0.25"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  <c r="AA469" s="96"/>
      <c r="AB469" s="96"/>
    </row>
    <row r="470" spans="2:28" s="99" customFormat="1" ht="15.75" customHeight="1" x14ac:dyDescent="0.25"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  <c r="AA470" s="96"/>
      <c r="AB470" s="96"/>
    </row>
    <row r="471" spans="2:28" s="99" customFormat="1" ht="15.75" customHeight="1" x14ac:dyDescent="0.25"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  <c r="AA471" s="96"/>
      <c r="AB471" s="96"/>
    </row>
    <row r="472" spans="2:28" s="99" customFormat="1" ht="15.75" customHeight="1" x14ac:dyDescent="0.25"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  <c r="AA472" s="96"/>
      <c r="AB472" s="96"/>
    </row>
    <row r="473" spans="2:28" s="99" customFormat="1" ht="15.75" customHeight="1" x14ac:dyDescent="0.25"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  <c r="AA473" s="96"/>
      <c r="AB473" s="96"/>
    </row>
    <row r="474" spans="2:28" s="99" customFormat="1" ht="15.75" customHeight="1" x14ac:dyDescent="0.25"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  <c r="AA474" s="96"/>
      <c r="AB474" s="96"/>
    </row>
    <row r="475" spans="2:28" s="99" customFormat="1" ht="15.75" customHeight="1" x14ac:dyDescent="0.25"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  <c r="AA475" s="96"/>
      <c r="AB475" s="96"/>
    </row>
    <row r="476" spans="2:28" s="99" customFormat="1" ht="15.75" customHeight="1" x14ac:dyDescent="0.25"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  <c r="AA476" s="96"/>
      <c r="AB476" s="96"/>
    </row>
    <row r="477" spans="2:28" s="99" customFormat="1" ht="15.75" customHeight="1" x14ac:dyDescent="0.25"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  <c r="AA477" s="96"/>
      <c r="AB477" s="96"/>
    </row>
    <row r="478" spans="2:28" s="99" customFormat="1" ht="15.75" customHeight="1" x14ac:dyDescent="0.25"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  <c r="AA478" s="96"/>
      <c r="AB478" s="96"/>
    </row>
    <row r="479" spans="2:28" s="99" customFormat="1" ht="15.75" customHeight="1" x14ac:dyDescent="0.25"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  <c r="AA479" s="96"/>
      <c r="AB479" s="96"/>
    </row>
    <row r="480" spans="2:28" s="99" customFormat="1" ht="15.75" customHeight="1" x14ac:dyDescent="0.25"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  <c r="AA480" s="96"/>
      <c r="AB480" s="96"/>
    </row>
    <row r="481" spans="2:28" s="99" customFormat="1" ht="15.75" customHeight="1" x14ac:dyDescent="0.25"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  <c r="AA481" s="96"/>
      <c r="AB481" s="96"/>
    </row>
    <row r="482" spans="2:28" s="99" customFormat="1" ht="15.75" customHeight="1" x14ac:dyDescent="0.25"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  <c r="AA482" s="96"/>
      <c r="AB482" s="96"/>
    </row>
    <row r="483" spans="2:28" s="99" customFormat="1" ht="15.75" customHeight="1" x14ac:dyDescent="0.25"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  <c r="AA483" s="96"/>
      <c r="AB483" s="96"/>
    </row>
    <row r="484" spans="2:28" s="99" customFormat="1" ht="15.75" customHeight="1" x14ac:dyDescent="0.25"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  <c r="AA484" s="96"/>
      <c r="AB484" s="96"/>
    </row>
    <row r="485" spans="2:28" s="99" customFormat="1" ht="15.75" customHeight="1" x14ac:dyDescent="0.25"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  <c r="AA485" s="96"/>
      <c r="AB485" s="96"/>
    </row>
    <row r="486" spans="2:28" s="99" customFormat="1" ht="15.75" customHeight="1" x14ac:dyDescent="0.25"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  <c r="AA486" s="96"/>
      <c r="AB486" s="96"/>
    </row>
    <row r="487" spans="2:28" s="99" customFormat="1" ht="15.75" customHeight="1" x14ac:dyDescent="0.25"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  <c r="AA487" s="96"/>
      <c r="AB487" s="96"/>
    </row>
    <row r="488" spans="2:28" s="99" customFormat="1" ht="15.75" customHeight="1" x14ac:dyDescent="0.25"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  <c r="AA488" s="96"/>
      <c r="AB488" s="96"/>
    </row>
    <row r="489" spans="2:28" s="99" customFormat="1" ht="15.75" customHeight="1" x14ac:dyDescent="0.25"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  <c r="AA489" s="96"/>
      <c r="AB489" s="96"/>
    </row>
    <row r="490" spans="2:28" s="99" customFormat="1" ht="15.75" customHeight="1" x14ac:dyDescent="0.25"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  <c r="AA490" s="96"/>
      <c r="AB490" s="96"/>
    </row>
    <row r="491" spans="2:28" s="99" customFormat="1" ht="15.75" customHeight="1" x14ac:dyDescent="0.25"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  <c r="AA491" s="96"/>
      <c r="AB491" s="96"/>
    </row>
    <row r="492" spans="2:28" s="99" customFormat="1" ht="15.75" customHeight="1" x14ac:dyDescent="0.25"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  <c r="AA492" s="96"/>
      <c r="AB492" s="96"/>
    </row>
    <row r="493" spans="2:28" s="99" customFormat="1" ht="15.75" customHeight="1" x14ac:dyDescent="0.25"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  <c r="AA493" s="96"/>
      <c r="AB493" s="96"/>
    </row>
    <row r="494" spans="2:28" s="99" customFormat="1" ht="15.75" customHeight="1" x14ac:dyDescent="0.25"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  <c r="AA494" s="96"/>
      <c r="AB494" s="96"/>
    </row>
    <row r="495" spans="2:28" s="99" customFormat="1" ht="15.75" customHeight="1" x14ac:dyDescent="0.25"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  <c r="AA495" s="96"/>
      <c r="AB495" s="96"/>
    </row>
    <row r="496" spans="2:28" s="99" customFormat="1" ht="15.75" customHeight="1" x14ac:dyDescent="0.25"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  <c r="AA496" s="96"/>
      <c r="AB496" s="96"/>
    </row>
    <row r="497" spans="2:28" s="99" customFormat="1" ht="15.75" customHeight="1" x14ac:dyDescent="0.25"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  <c r="AA497" s="96"/>
      <c r="AB497" s="96"/>
    </row>
    <row r="498" spans="2:28" s="99" customFormat="1" ht="15.75" customHeight="1" x14ac:dyDescent="0.25"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  <c r="AA498" s="96"/>
      <c r="AB498" s="96"/>
    </row>
    <row r="499" spans="2:28" s="99" customFormat="1" ht="15.75" customHeight="1" x14ac:dyDescent="0.25"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  <c r="AA499" s="96"/>
      <c r="AB499" s="96"/>
    </row>
    <row r="500" spans="2:28" s="99" customFormat="1" ht="15.75" customHeight="1" x14ac:dyDescent="0.25"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  <c r="AA500" s="96"/>
      <c r="AB500" s="96"/>
    </row>
    <row r="501" spans="2:28" s="99" customFormat="1" ht="15.75" customHeight="1" x14ac:dyDescent="0.25"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  <c r="AA501" s="96"/>
      <c r="AB501" s="96"/>
    </row>
    <row r="502" spans="2:28" s="99" customFormat="1" ht="15.75" customHeight="1" x14ac:dyDescent="0.25"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  <c r="AB502" s="96"/>
    </row>
    <row r="503" spans="2:28" s="99" customFormat="1" ht="15.75" customHeight="1" x14ac:dyDescent="0.25"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  <c r="AA503" s="96"/>
      <c r="AB503" s="96"/>
    </row>
    <row r="504" spans="2:28" s="99" customFormat="1" ht="15.75" customHeight="1" x14ac:dyDescent="0.25"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  <c r="AA504" s="96"/>
      <c r="AB504" s="96"/>
    </row>
    <row r="505" spans="2:28" s="99" customFormat="1" ht="15.75" customHeight="1" x14ac:dyDescent="0.25"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  <c r="AA505" s="96"/>
      <c r="AB505" s="96"/>
    </row>
    <row r="506" spans="2:28" s="99" customFormat="1" ht="15.75" customHeight="1" x14ac:dyDescent="0.25"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  <c r="AA506" s="96"/>
      <c r="AB506" s="96"/>
    </row>
    <row r="507" spans="2:28" s="99" customFormat="1" ht="15.75" customHeight="1" x14ac:dyDescent="0.25"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  <c r="AA507" s="96"/>
      <c r="AB507" s="96"/>
    </row>
    <row r="508" spans="2:28" s="99" customFormat="1" ht="15.75" customHeight="1" x14ac:dyDescent="0.25"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  <c r="AA508" s="96"/>
      <c r="AB508" s="96"/>
    </row>
    <row r="509" spans="2:28" s="99" customFormat="1" ht="15.75" customHeight="1" x14ac:dyDescent="0.25"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  <c r="AA509" s="96"/>
      <c r="AB509" s="96"/>
    </row>
    <row r="510" spans="2:28" s="99" customFormat="1" ht="15.75" customHeight="1" x14ac:dyDescent="0.25"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  <c r="AA510" s="96"/>
      <c r="AB510" s="96"/>
    </row>
    <row r="511" spans="2:28" s="99" customFormat="1" ht="15.75" customHeight="1" x14ac:dyDescent="0.25"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  <c r="AA511" s="96"/>
      <c r="AB511" s="96"/>
    </row>
    <row r="512" spans="2:28" s="99" customFormat="1" ht="15.75" customHeight="1" x14ac:dyDescent="0.25"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  <c r="AA512" s="96"/>
      <c r="AB512" s="96"/>
    </row>
    <row r="513" spans="2:28" s="99" customFormat="1" ht="15.75" customHeight="1" x14ac:dyDescent="0.25"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  <c r="AA513" s="96"/>
      <c r="AB513" s="96"/>
    </row>
    <row r="514" spans="2:28" s="99" customFormat="1" ht="15.75" customHeight="1" x14ac:dyDescent="0.25"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  <c r="AA514" s="96"/>
      <c r="AB514" s="96"/>
    </row>
    <row r="515" spans="2:28" s="99" customFormat="1" ht="15.75" customHeight="1" x14ac:dyDescent="0.25"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  <c r="AA515" s="96"/>
      <c r="AB515" s="96"/>
    </row>
    <row r="516" spans="2:28" s="99" customFormat="1" ht="15.75" customHeight="1" x14ac:dyDescent="0.25"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  <c r="AA516" s="96"/>
      <c r="AB516" s="96"/>
    </row>
    <row r="517" spans="2:28" s="99" customFormat="1" ht="15.75" customHeight="1" x14ac:dyDescent="0.25"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  <c r="AA517" s="96"/>
      <c r="AB517" s="96"/>
    </row>
    <row r="518" spans="2:28" s="99" customFormat="1" ht="15.75" customHeight="1" x14ac:dyDescent="0.25"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  <c r="AA518" s="96"/>
      <c r="AB518" s="96"/>
    </row>
    <row r="519" spans="2:28" s="99" customFormat="1" ht="15.75" customHeight="1" x14ac:dyDescent="0.25"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  <c r="AA519" s="96"/>
      <c r="AB519" s="96"/>
    </row>
    <row r="520" spans="2:28" s="99" customFormat="1" ht="15.75" customHeight="1" x14ac:dyDescent="0.25"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  <c r="AA520" s="96"/>
      <c r="AB520" s="96"/>
    </row>
    <row r="521" spans="2:28" s="99" customFormat="1" ht="15.75" customHeight="1" x14ac:dyDescent="0.25"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  <c r="AA521" s="96"/>
      <c r="AB521" s="96"/>
    </row>
    <row r="522" spans="2:28" s="99" customFormat="1" ht="15.75" customHeight="1" x14ac:dyDescent="0.25"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  <c r="AA522" s="96"/>
      <c r="AB522" s="96"/>
    </row>
    <row r="523" spans="2:28" s="99" customFormat="1" ht="15.75" customHeight="1" x14ac:dyDescent="0.25"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  <c r="AA523" s="96"/>
      <c r="AB523" s="96"/>
    </row>
    <row r="524" spans="2:28" s="99" customFormat="1" ht="15.75" customHeight="1" x14ac:dyDescent="0.25"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  <c r="AA524" s="96"/>
      <c r="AB524" s="96"/>
    </row>
    <row r="525" spans="2:28" s="99" customFormat="1" ht="15.75" customHeight="1" x14ac:dyDescent="0.25"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  <c r="AA525" s="96"/>
      <c r="AB525" s="96"/>
    </row>
    <row r="526" spans="2:28" s="99" customFormat="1" ht="15.75" customHeight="1" x14ac:dyDescent="0.25"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  <c r="AA526" s="96"/>
      <c r="AB526" s="96"/>
    </row>
    <row r="527" spans="2:28" s="99" customFormat="1" ht="15.75" customHeight="1" x14ac:dyDescent="0.25"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  <c r="AA527" s="96"/>
      <c r="AB527" s="96"/>
    </row>
    <row r="528" spans="2:28" s="99" customFormat="1" ht="15.75" customHeight="1" x14ac:dyDescent="0.25"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  <c r="AA528" s="96"/>
      <c r="AB528" s="96"/>
    </row>
    <row r="529" spans="2:28" s="99" customFormat="1" ht="15.75" customHeight="1" x14ac:dyDescent="0.25"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  <c r="AA529" s="96"/>
      <c r="AB529" s="96"/>
    </row>
    <row r="530" spans="2:28" s="99" customFormat="1" ht="15.75" customHeight="1" x14ac:dyDescent="0.25"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  <c r="AA530" s="96"/>
      <c r="AB530" s="96"/>
    </row>
    <row r="531" spans="2:28" s="99" customFormat="1" ht="15.75" customHeight="1" x14ac:dyDescent="0.25"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  <c r="AA531" s="96"/>
      <c r="AB531" s="96"/>
    </row>
    <row r="532" spans="2:28" s="99" customFormat="1" ht="15.75" customHeight="1" x14ac:dyDescent="0.25"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  <c r="AA532" s="96"/>
      <c r="AB532" s="96"/>
    </row>
    <row r="533" spans="2:28" s="99" customFormat="1" ht="15.75" customHeight="1" x14ac:dyDescent="0.25"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  <c r="AA533" s="96"/>
      <c r="AB533" s="96"/>
    </row>
    <row r="534" spans="2:28" s="99" customFormat="1" ht="15.75" customHeight="1" x14ac:dyDescent="0.25"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  <c r="AA534" s="96"/>
      <c r="AB534" s="96"/>
    </row>
    <row r="535" spans="2:28" s="99" customFormat="1" ht="15.75" customHeight="1" x14ac:dyDescent="0.25"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  <c r="AA535" s="96"/>
      <c r="AB535" s="96"/>
    </row>
    <row r="536" spans="2:28" s="99" customFormat="1" ht="15.75" customHeight="1" x14ac:dyDescent="0.25"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  <c r="AA536" s="96"/>
      <c r="AB536" s="96"/>
    </row>
    <row r="537" spans="2:28" s="99" customFormat="1" ht="15.75" customHeight="1" x14ac:dyDescent="0.25"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  <c r="AA537" s="96"/>
      <c r="AB537" s="96"/>
    </row>
    <row r="538" spans="2:28" s="99" customFormat="1" ht="15.75" customHeight="1" x14ac:dyDescent="0.25"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  <c r="AA538" s="96"/>
      <c r="AB538" s="96"/>
    </row>
    <row r="539" spans="2:28" s="99" customFormat="1" ht="15.75" customHeight="1" x14ac:dyDescent="0.25"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  <c r="AA539" s="96"/>
      <c r="AB539" s="96"/>
    </row>
    <row r="540" spans="2:28" s="99" customFormat="1" ht="15.75" customHeight="1" x14ac:dyDescent="0.25"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  <c r="AA540" s="96"/>
      <c r="AB540" s="96"/>
    </row>
    <row r="541" spans="2:28" s="99" customFormat="1" ht="15.75" customHeight="1" x14ac:dyDescent="0.25"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  <c r="AA541" s="96"/>
      <c r="AB541" s="96"/>
    </row>
    <row r="542" spans="2:28" s="99" customFormat="1" ht="15.75" customHeight="1" x14ac:dyDescent="0.25"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  <c r="AA542" s="96"/>
      <c r="AB542" s="96"/>
    </row>
    <row r="543" spans="2:28" s="99" customFormat="1" ht="15.75" customHeight="1" x14ac:dyDescent="0.25"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  <c r="AA543" s="96"/>
      <c r="AB543" s="96"/>
    </row>
    <row r="544" spans="2:28" s="99" customFormat="1" ht="15.75" customHeight="1" x14ac:dyDescent="0.25"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  <c r="AA544" s="96"/>
      <c r="AB544" s="96"/>
    </row>
    <row r="545" spans="2:28" s="99" customFormat="1" ht="15.75" customHeight="1" x14ac:dyDescent="0.25"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  <c r="AA545" s="96"/>
      <c r="AB545" s="96"/>
    </row>
    <row r="546" spans="2:28" s="99" customFormat="1" ht="15.75" customHeight="1" x14ac:dyDescent="0.25"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  <c r="AA546" s="96"/>
      <c r="AB546" s="96"/>
    </row>
    <row r="547" spans="2:28" s="99" customFormat="1" ht="15.75" customHeight="1" x14ac:dyDescent="0.25"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  <c r="AA547" s="96"/>
      <c r="AB547" s="96"/>
    </row>
    <row r="548" spans="2:28" s="99" customFormat="1" ht="15.75" customHeight="1" x14ac:dyDescent="0.25"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  <c r="AA548" s="96"/>
      <c r="AB548" s="96"/>
    </row>
    <row r="549" spans="2:28" s="99" customFormat="1" ht="15.75" customHeight="1" x14ac:dyDescent="0.25"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  <c r="AA549" s="96"/>
      <c r="AB549" s="96"/>
    </row>
    <row r="550" spans="2:28" s="99" customFormat="1" ht="15.75" customHeight="1" x14ac:dyDescent="0.25"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  <c r="AA550" s="96"/>
      <c r="AB550" s="96"/>
    </row>
    <row r="551" spans="2:28" s="99" customFormat="1" ht="15.75" customHeight="1" x14ac:dyDescent="0.25"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  <c r="AA551" s="96"/>
      <c r="AB551" s="96"/>
    </row>
    <row r="552" spans="2:28" s="99" customFormat="1" ht="15.75" customHeight="1" x14ac:dyDescent="0.25"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  <c r="AA552" s="96"/>
      <c r="AB552" s="96"/>
    </row>
    <row r="553" spans="2:28" s="99" customFormat="1" ht="15.75" customHeight="1" x14ac:dyDescent="0.25"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  <c r="AA553" s="96"/>
      <c r="AB553" s="96"/>
    </row>
    <row r="554" spans="2:28" s="99" customFormat="1" ht="15.75" customHeight="1" x14ac:dyDescent="0.25"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  <c r="AA554" s="96"/>
      <c r="AB554" s="96"/>
    </row>
    <row r="555" spans="2:28" s="99" customFormat="1" ht="15.75" customHeight="1" x14ac:dyDescent="0.25"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  <c r="AA555" s="96"/>
      <c r="AB555" s="96"/>
    </row>
    <row r="556" spans="2:28" s="99" customFormat="1" ht="15.75" customHeight="1" x14ac:dyDescent="0.25"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  <c r="AA556" s="96"/>
      <c r="AB556" s="96"/>
    </row>
    <row r="557" spans="2:28" s="99" customFormat="1" ht="15.75" customHeight="1" x14ac:dyDescent="0.25"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  <c r="AA557" s="96"/>
      <c r="AB557" s="96"/>
    </row>
    <row r="558" spans="2:28" s="99" customFormat="1" ht="15.75" customHeight="1" x14ac:dyDescent="0.25"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  <c r="AA558" s="96"/>
      <c r="AB558" s="96"/>
    </row>
    <row r="559" spans="2:28" s="99" customFormat="1" ht="15.75" customHeight="1" x14ac:dyDescent="0.25"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  <c r="AA559" s="96"/>
      <c r="AB559" s="96"/>
    </row>
    <row r="560" spans="2:28" s="99" customFormat="1" ht="15.75" customHeight="1" x14ac:dyDescent="0.25"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  <c r="AA560" s="96"/>
      <c r="AB560" s="96"/>
    </row>
    <row r="561" spans="2:28" s="99" customFormat="1" ht="15.75" customHeight="1" x14ac:dyDescent="0.25"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  <c r="AA561" s="96"/>
      <c r="AB561" s="96"/>
    </row>
    <row r="562" spans="2:28" s="99" customFormat="1" ht="15.75" customHeight="1" x14ac:dyDescent="0.25"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  <c r="AA562" s="96"/>
      <c r="AB562" s="96"/>
    </row>
    <row r="563" spans="2:28" s="99" customFormat="1" ht="15.75" customHeight="1" x14ac:dyDescent="0.25"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  <c r="AA563" s="96"/>
      <c r="AB563" s="96"/>
    </row>
    <row r="564" spans="2:28" s="99" customFormat="1" ht="15.75" customHeight="1" x14ac:dyDescent="0.25"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  <c r="AA564" s="96"/>
      <c r="AB564" s="96"/>
    </row>
    <row r="565" spans="2:28" s="99" customFormat="1" ht="15.75" customHeight="1" x14ac:dyDescent="0.25"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  <c r="AA565" s="96"/>
      <c r="AB565" s="96"/>
    </row>
    <row r="566" spans="2:28" s="99" customFormat="1" ht="15.75" customHeight="1" x14ac:dyDescent="0.25"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  <c r="AA566" s="96"/>
      <c r="AB566" s="96"/>
    </row>
    <row r="567" spans="2:28" s="99" customFormat="1" ht="15.75" customHeight="1" x14ac:dyDescent="0.25"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  <c r="AA567" s="96"/>
      <c r="AB567" s="96"/>
    </row>
    <row r="568" spans="2:28" s="99" customFormat="1" ht="15.75" customHeight="1" x14ac:dyDescent="0.25"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  <c r="AA568" s="96"/>
      <c r="AB568" s="96"/>
    </row>
    <row r="569" spans="2:28" s="99" customFormat="1" ht="15.75" customHeight="1" x14ac:dyDescent="0.25"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  <c r="AA569" s="96"/>
      <c r="AB569" s="96"/>
    </row>
    <row r="570" spans="2:28" s="99" customFormat="1" ht="15.75" customHeight="1" x14ac:dyDescent="0.25"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  <c r="AA570" s="96"/>
      <c r="AB570" s="96"/>
    </row>
    <row r="571" spans="2:28" s="99" customFormat="1" ht="15.75" customHeight="1" x14ac:dyDescent="0.25"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  <c r="AA571" s="96"/>
      <c r="AB571" s="96"/>
    </row>
    <row r="572" spans="2:28" s="99" customFormat="1" ht="15.75" customHeight="1" x14ac:dyDescent="0.25"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  <c r="AA572" s="96"/>
      <c r="AB572" s="96"/>
    </row>
    <row r="573" spans="2:28" s="99" customFormat="1" ht="15.75" customHeight="1" x14ac:dyDescent="0.25"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  <c r="AA573" s="96"/>
      <c r="AB573" s="96"/>
    </row>
    <row r="574" spans="2:28" s="99" customFormat="1" ht="15.75" customHeight="1" x14ac:dyDescent="0.25"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  <c r="AA574" s="96"/>
      <c r="AB574" s="96"/>
    </row>
    <row r="575" spans="2:28" s="99" customFormat="1" ht="15.75" customHeight="1" x14ac:dyDescent="0.25"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  <c r="AA575" s="96"/>
      <c r="AB575" s="96"/>
    </row>
    <row r="576" spans="2:28" s="99" customFormat="1" ht="15.75" customHeight="1" x14ac:dyDescent="0.25"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  <c r="AA576" s="96"/>
      <c r="AB576" s="96"/>
    </row>
    <row r="577" spans="2:28" s="99" customFormat="1" ht="15.75" customHeight="1" x14ac:dyDescent="0.25"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  <c r="AA577" s="96"/>
      <c r="AB577" s="96"/>
    </row>
    <row r="578" spans="2:28" s="99" customFormat="1" ht="15.75" customHeight="1" x14ac:dyDescent="0.25"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  <c r="AA578" s="96"/>
      <c r="AB578" s="96"/>
    </row>
    <row r="579" spans="2:28" s="99" customFormat="1" ht="15.75" customHeight="1" x14ac:dyDescent="0.25"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  <c r="AA579" s="96"/>
      <c r="AB579" s="96"/>
    </row>
    <row r="580" spans="2:28" s="99" customFormat="1" ht="15.75" customHeight="1" x14ac:dyDescent="0.25"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  <c r="AA580" s="96"/>
      <c r="AB580" s="96"/>
    </row>
    <row r="581" spans="2:28" s="99" customFormat="1" ht="15.75" customHeight="1" x14ac:dyDescent="0.25"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  <c r="AA581" s="96"/>
      <c r="AB581" s="96"/>
    </row>
    <row r="582" spans="2:28" s="99" customFormat="1" ht="15.75" customHeight="1" x14ac:dyDescent="0.25"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  <c r="AA582" s="96"/>
      <c r="AB582" s="96"/>
    </row>
    <row r="583" spans="2:28" s="99" customFormat="1" ht="15.75" customHeight="1" x14ac:dyDescent="0.25"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  <c r="AA583" s="96"/>
      <c r="AB583" s="96"/>
    </row>
    <row r="584" spans="2:28" s="99" customFormat="1" ht="15.75" customHeight="1" x14ac:dyDescent="0.25"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  <c r="AA584" s="96"/>
      <c r="AB584" s="96"/>
    </row>
    <row r="585" spans="2:28" s="99" customFormat="1" ht="15.75" customHeight="1" x14ac:dyDescent="0.25"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  <c r="AA585" s="96"/>
      <c r="AB585" s="96"/>
    </row>
    <row r="586" spans="2:28" s="99" customFormat="1" ht="15.75" customHeight="1" x14ac:dyDescent="0.25"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  <c r="AA586" s="96"/>
      <c r="AB586" s="96"/>
    </row>
    <row r="587" spans="2:28" s="99" customFormat="1" ht="15.75" customHeight="1" x14ac:dyDescent="0.25"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  <c r="AA587" s="96"/>
      <c r="AB587" s="96"/>
    </row>
    <row r="588" spans="2:28" s="99" customFormat="1" ht="15.75" customHeight="1" x14ac:dyDescent="0.25"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  <c r="AA588" s="96"/>
      <c r="AB588" s="96"/>
    </row>
    <row r="589" spans="2:28" s="99" customFormat="1" ht="15.75" customHeight="1" x14ac:dyDescent="0.25"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  <c r="AA589" s="96"/>
      <c r="AB589" s="96"/>
    </row>
    <row r="590" spans="2:28" s="99" customFormat="1" ht="15.75" customHeight="1" x14ac:dyDescent="0.25"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  <c r="AA590" s="96"/>
      <c r="AB590" s="96"/>
    </row>
    <row r="591" spans="2:28" s="99" customFormat="1" ht="15.75" customHeight="1" x14ac:dyDescent="0.25"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  <c r="AA591" s="96"/>
      <c r="AB591" s="96"/>
    </row>
    <row r="592" spans="2:28" s="99" customFormat="1" ht="15.75" customHeight="1" x14ac:dyDescent="0.25"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  <c r="AA592" s="96"/>
      <c r="AB592" s="96"/>
    </row>
    <row r="593" spans="2:28" s="99" customFormat="1" ht="15.75" customHeight="1" x14ac:dyDescent="0.25"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  <c r="AA593" s="96"/>
      <c r="AB593" s="96"/>
    </row>
    <row r="594" spans="2:28" s="99" customFormat="1" ht="15.75" customHeight="1" x14ac:dyDescent="0.25"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  <c r="AA594" s="96"/>
      <c r="AB594" s="96"/>
    </row>
    <row r="595" spans="2:28" s="99" customFormat="1" ht="15.75" customHeight="1" x14ac:dyDescent="0.25"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  <c r="AA595" s="96"/>
      <c r="AB595" s="96"/>
    </row>
    <row r="596" spans="2:28" s="99" customFormat="1" ht="15.75" customHeight="1" x14ac:dyDescent="0.25"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  <c r="AA596" s="96"/>
      <c r="AB596" s="96"/>
    </row>
    <row r="597" spans="2:28" s="99" customFormat="1" ht="15.75" customHeight="1" x14ac:dyDescent="0.25"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  <c r="AA597" s="96"/>
      <c r="AB597" s="96"/>
    </row>
    <row r="598" spans="2:28" s="99" customFormat="1" ht="15.75" customHeight="1" x14ac:dyDescent="0.25"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  <c r="AA598" s="96"/>
      <c r="AB598" s="96"/>
    </row>
    <row r="599" spans="2:28" s="99" customFormat="1" ht="15.75" customHeight="1" x14ac:dyDescent="0.25"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  <c r="AA599" s="96"/>
      <c r="AB599" s="96"/>
    </row>
    <row r="600" spans="2:28" s="99" customFormat="1" ht="15.75" customHeight="1" x14ac:dyDescent="0.25"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  <c r="AA600" s="96"/>
      <c r="AB600" s="96"/>
    </row>
    <row r="601" spans="2:28" s="99" customFormat="1" ht="15.75" customHeight="1" x14ac:dyDescent="0.25"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  <c r="AA601" s="96"/>
      <c r="AB601" s="96"/>
    </row>
    <row r="602" spans="2:28" s="99" customFormat="1" ht="15.75" customHeight="1" x14ac:dyDescent="0.25"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  <c r="AA602" s="96"/>
      <c r="AB602" s="96"/>
    </row>
    <row r="603" spans="2:28" s="99" customFormat="1" ht="15.75" customHeight="1" x14ac:dyDescent="0.25"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  <c r="AA603" s="96"/>
      <c r="AB603" s="96"/>
    </row>
    <row r="604" spans="2:28" s="99" customFormat="1" ht="15.75" customHeight="1" x14ac:dyDescent="0.25"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  <c r="AA604" s="96"/>
      <c r="AB604" s="96"/>
    </row>
    <row r="605" spans="2:28" s="99" customFormat="1" ht="15.75" customHeight="1" x14ac:dyDescent="0.25"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  <c r="AA605" s="96"/>
      <c r="AB605" s="96"/>
    </row>
    <row r="606" spans="2:28" s="99" customFormat="1" ht="15.75" customHeight="1" x14ac:dyDescent="0.25"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  <c r="AA606" s="96"/>
      <c r="AB606" s="96"/>
    </row>
    <row r="607" spans="2:28" s="99" customFormat="1" ht="15.75" customHeight="1" x14ac:dyDescent="0.25"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  <c r="AA607" s="96"/>
      <c r="AB607" s="96"/>
    </row>
    <row r="608" spans="2:28" s="99" customFormat="1" ht="15.75" customHeight="1" x14ac:dyDescent="0.25"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  <c r="AA608" s="96"/>
      <c r="AB608" s="96"/>
    </row>
    <row r="609" spans="2:28" s="99" customFormat="1" ht="15.75" customHeight="1" x14ac:dyDescent="0.25"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  <c r="AA609" s="96"/>
      <c r="AB609" s="96"/>
    </row>
    <row r="610" spans="2:28" s="99" customFormat="1" ht="15.75" customHeight="1" x14ac:dyDescent="0.25"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  <c r="AA610" s="96"/>
      <c r="AB610" s="96"/>
    </row>
    <row r="611" spans="2:28" s="99" customFormat="1" ht="15.75" customHeight="1" x14ac:dyDescent="0.25"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  <c r="AA611" s="96"/>
      <c r="AB611" s="96"/>
    </row>
    <row r="612" spans="2:28" s="99" customFormat="1" ht="15.75" customHeight="1" x14ac:dyDescent="0.25"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  <c r="AA612" s="96"/>
      <c r="AB612" s="96"/>
    </row>
    <row r="613" spans="2:28" s="99" customFormat="1" ht="15.75" customHeight="1" x14ac:dyDescent="0.25"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  <c r="AA613" s="96"/>
      <c r="AB613" s="96"/>
    </row>
    <row r="614" spans="2:28" s="99" customFormat="1" ht="15.75" customHeight="1" x14ac:dyDescent="0.25"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  <c r="AA614" s="96"/>
      <c r="AB614" s="96"/>
    </row>
    <row r="615" spans="2:28" s="99" customFormat="1" ht="15.75" customHeight="1" x14ac:dyDescent="0.25"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  <c r="AA615" s="96"/>
      <c r="AB615" s="96"/>
    </row>
    <row r="616" spans="2:28" s="99" customFormat="1" ht="15.75" customHeight="1" x14ac:dyDescent="0.25"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  <c r="AA616" s="96"/>
      <c r="AB616" s="96"/>
    </row>
    <row r="617" spans="2:28" s="99" customFormat="1" ht="15.75" customHeight="1" x14ac:dyDescent="0.25"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  <c r="AA617" s="96"/>
      <c r="AB617" s="96"/>
    </row>
    <row r="618" spans="2:28" s="99" customFormat="1" ht="15.75" customHeight="1" x14ac:dyDescent="0.25"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  <c r="AA618" s="96"/>
      <c r="AB618" s="96"/>
    </row>
    <row r="619" spans="2:28" s="99" customFormat="1" ht="15.75" customHeight="1" x14ac:dyDescent="0.25"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  <c r="AA619" s="96"/>
      <c r="AB619" s="96"/>
    </row>
    <row r="620" spans="2:28" s="99" customFormat="1" ht="15.75" customHeight="1" x14ac:dyDescent="0.25"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  <c r="AA620" s="96"/>
      <c r="AB620" s="96"/>
    </row>
    <row r="621" spans="2:28" s="99" customFormat="1" ht="15.75" customHeight="1" x14ac:dyDescent="0.25"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  <c r="AA621" s="96"/>
      <c r="AB621" s="96"/>
    </row>
    <row r="622" spans="2:28" s="99" customFormat="1" ht="15.75" customHeight="1" x14ac:dyDescent="0.25"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  <c r="AA622" s="96"/>
      <c r="AB622" s="96"/>
    </row>
    <row r="623" spans="2:28" s="99" customFormat="1" ht="15.75" customHeight="1" x14ac:dyDescent="0.25"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  <c r="AA623" s="96"/>
      <c r="AB623" s="96"/>
    </row>
    <row r="624" spans="2:28" s="99" customFormat="1" ht="15.75" customHeight="1" x14ac:dyDescent="0.25"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  <c r="AA624" s="96"/>
      <c r="AB624" s="96"/>
    </row>
    <row r="625" spans="2:28" s="99" customFormat="1" ht="15.75" customHeight="1" x14ac:dyDescent="0.25"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  <c r="AA625" s="96"/>
      <c r="AB625" s="96"/>
    </row>
    <row r="626" spans="2:28" s="99" customFormat="1" ht="15.75" customHeight="1" x14ac:dyDescent="0.25"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  <c r="AA626" s="96"/>
      <c r="AB626" s="96"/>
    </row>
    <row r="627" spans="2:28" s="99" customFormat="1" ht="15.75" customHeight="1" x14ac:dyDescent="0.25"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  <c r="AA627" s="96"/>
      <c r="AB627" s="96"/>
    </row>
    <row r="628" spans="2:28" s="99" customFormat="1" ht="15.75" customHeight="1" x14ac:dyDescent="0.25"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  <c r="AA628" s="96"/>
      <c r="AB628" s="96"/>
    </row>
    <row r="629" spans="2:28" s="99" customFormat="1" ht="15.75" customHeight="1" x14ac:dyDescent="0.25"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  <c r="AA629" s="96"/>
      <c r="AB629" s="96"/>
    </row>
    <row r="630" spans="2:28" s="99" customFormat="1" ht="15.75" customHeight="1" x14ac:dyDescent="0.25"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  <c r="AA630" s="96"/>
      <c r="AB630" s="96"/>
    </row>
    <row r="631" spans="2:28" s="99" customFormat="1" ht="15.75" customHeight="1" x14ac:dyDescent="0.25"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  <c r="AA631" s="96"/>
      <c r="AB631" s="96"/>
    </row>
    <row r="632" spans="2:28" s="99" customFormat="1" ht="15.75" customHeight="1" x14ac:dyDescent="0.25"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  <c r="AA632" s="96"/>
      <c r="AB632" s="96"/>
    </row>
    <row r="633" spans="2:28" s="99" customFormat="1" ht="15.75" customHeight="1" x14ac:dyDescent="0.25"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  <c r="AA633" s="96"/>
      <c r="AB633" s="96"/>
    </row>
    <row r="634" spans="2:28" s="99" customFormat="1" ht="15.75" customHeight="1" x14ac:dyDescent="0.25"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  <c r="AA634" s="96"/>
      <c r="AB634" s="96"/>
    </row>
    <row r="635" spans="2:28" s="99" customFormat="1" ht="15.75" customHeight="1" x14ac:dyDescent="0.25"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  <c r="AA635" s="96"/>
      <c r="AB635" s="96"/>
    </row>
    <row r="636" spans="2:28" s="99" customFormat="1" ht="15.75" customHeight="1" x14ac:dyDescent="0.25"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  <c r="AA636" s="96"/>
      <c r="AB636" s="96"/>
    </row>
    <row r="637" spans="2:28" s="99" customFormat="1" ht="15.75" customHeight="1" x14ac:dyDescent="0.25"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  <c r="AA637" s="96"/>
      <c r="AB637" s="96"/>
    </row>
    <row r="638" spans="2:28" s="99" customFormat="1" ht="15.75" customHeight="1" x14ac:dyDescent="0.25"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  <c r="AA638" s="96"/>
      <c r="AB638" s="96"/>
    </row>
    <row r="639" spans="2:28" s="99" customFormat="1" ht="15.75" customHeight="1" x14ac:dyDescent="0.25"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  <c r="AA639" s="96"/>
      <c r="AB639" s="96"/>
    </row>
    <row r="640" spans="2:28" s="99" customFormat="1" ht="15.75" customHeight="1" x14ac:dyDescent="0.25"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  <c r="AA640" s="96"/>
      <c r="AB640" s="96"/>
    </row>
    <row r="641" spans="2:28" s="99" customFormat="1" ht="15.75" customHeight="1" x14ac:dyDescent="0.25"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  <c r="AA641" s="96"/>
      <c r="AB641" s="96"/>
    </row>
    <row r="642" spans="2:28" s="99" customFormat="1" ht="15.75" customHeight="1" x14ac:dyDescent="0.25"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  <c r="AA642" s="96"/>
      <c r="AB642" s="96"/>
    </row>
    <row r="643" spans="2:28" s="99" customFormat="1" ht="15.75" customHeight="1" x14ac:dyDescent="0.25"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  <c r="AA643" s="96"/>
      <c r="AB643" s="96"/>
    </row>
    <row r="644" spans="2:28" s="99" customFormat="1" ht="15.75" customHeight="1" x14ac:dyDescent="0.25"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  <c r="AA644" s="96"/>
      <c r="AB644" s="96"/>
    </row>
    <row r="645" spans="2:28" s="99" customFormat="1" ht="15.75" customHeight="1" x14ac:dyDescent="0.25"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  <c r="AA645" s="96"/>
      <c r="AB645" s="96"/>
    </row>
    <row r="646" spans="2:28" s="99" customFormat="1" ht="15.75" customHeight="1" x14ac:dyDescent="0.25"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  <c r="AA646" s="96"/>
      <c r="AB646" s="96"/>
    </row>
    <row r="647" spans="2:28" s="99" customFormat="1" ht="15.75" customHeight="1" x14ac:dyDescent="0.25"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  <c r="AA647" s="96"/>
      <c r="AB647" s="96"/>
    </row>
    <row r="648" spans="2:28" s="99" customFormat="1" ht="15.75" customHeight="1" x14ac:dyDescent="0.25"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  <c r="AA648" s="96"/>
      <c r="AB648" s="96"/>
    </row>
    <row r="649" spans="2:28" s="99" customFormat="1" ht="15.75" customHeight="1" x14ac:dyDescent="0.25"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  <c r="AA649" s="96"/>
      <c r="AB649" s="96"/>
    </row>
    <row r="650" spans="2:28" s="99" customFormat="1" ht="15.75" customHeight="1" x14ac:dyDescent="0.25"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  <c r="AA650" s="96"/>
      <c r="AB650" s="96"/>
    </row>
    <row r="651" spans="2:28" s="99" customFormat="1" ht="15.75" customHeight="1" x14ac:dyDescent="0.25"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  <c r="AA651" s="96"/>
      <c r="AB651" s="96"/>
    </row>
    <row r="652" spans="2:28" s="99" customFormat="1" ht="15.75" customHeight="1" x14ac:dyDescent="0.25"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  <c r="AA652" s="96"/>
      <c r="AB652" s="96"/>
    </row>
    <row r="653" spans="2:28" s="99" customFormat="1" ht="15.75" customHeight="1" x14ac:dyDescent="0.25"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  <c r="AA653" s="96"/>
      <c r="AB653" s="96"/>
    </row>
    <row r="654" spans="2:28" s="99" customFormat="1" ht="15.75" customHeight="1" x14ac:dyDescent="0.25"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  <c r="AA654" s="96"/>
      <c r="AB654" s="96"/>
    </row>
    <row r="655" spans="2:28" s="99" customFormat="1" ht="15.75" customHeight="1" x14ac:dyDescent="0.25"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  <c r="AA655" s="96"/>
      <c r="AB655" s="96"/>
    </row>
    <row r="656" spans="2:28" s="99" customFormat="1" ht="15.75" customHeight="1" x14ac:dyDescent="0.25"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  <c r="AA656" s="96"/>
      <c r="AB656" s="96"/>
    </row>
    <row r="657" spans="2:28" s="99" customFormat="1" ht="15.75" customHeight="1" x14ac:dyDescent="0.25"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  <c r="AA657" s="96"/>
      <c r="AB657" s="96"/>
    </row>
    <row r="658" spans="2:28" s="99" customFormat="1" ht="15.75" customHeight="1" x14ac:dyDescent="0.25"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  <c r="AA658" s="96"/>
      <c r="AB658" s="96"/>
    </row>
    <row r="659" spans="2:28" s="99" customFormat="1" ht="15.75" customHeight="1" x14ac:dyDescent="0.25"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  <c r="AA659" s="96"/>
      <c r="AB659" s="96"/>
    </row>
    <row r="660" spans="2:28" s="99" customFormat="1" ht="15.75" customHeight="1" x14ac:dyDescent="0.25"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  <c r="AA660" s="96"/>
      <c r="AB660" s="96"/>
    </row>
    <row r="661" spans="2:28" s="99" customFormat="1" ht="15.75" customHeight="1" x14ac:dyDescent="0.25"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  <c r="AA661" s="96"/>
      <c r="AB661" s="96"/>
    </row>
    <row r="662" spans="2:28" s="99" customFormat="1" ht="15.75" customHeight="1" x14ac:dyDescent="0.25"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  <c r="AA662" s="96"/>
      <c r="AB662" s="96"/>
    </row>
    <row r="663" spans="2:28" s="99" customFormat="1" ht="15.75" customHeight="1" x14ac:dyDescent="0.25"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  <c r="AA663" s="96"/>
      <c r="AB663" s="96"/>
    </row>
    <row r="664" spans="2:28" s="99" customFormat="1" ht="15.75" customHeight="1" x14ac:dyDescent="0.25"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  <c r="AA664" s="96"/>
      <c r="AB664" s="96"/>
    </row>
    <row r="665" spans="2:28" s="99" customFormat="1" ht="15.75" customHeight="1" x14ac:dyDescent="0.25"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  <c r="AA665" s="96"/>
      <c r="AB665" s="96"/>
    </row>
    <row r="666" spans="2:28" s="99" customFormat="1" ht="15.75" customHeight="1" x14ac:dyDescent="0.25"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  <c r="AA666" s="96"/>
      <c r="AB666" s="96"/>
    </row>
    <row r="667" spans="2:28" s="99" customFormat="1" ht="15.75" customHeight="1" x14ac:dyDescent="0.25"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  <c r="AA667" s="96"/>
      <c r="AB667" s="96"/>
    </row>
    <row r="668" spans="2:28" s="99" customFormat="1" ht="15.75" customHeight="1" x14ac:dyDescent="0.25"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  <c r="AA668" s="96"/>
      <c r="AB668" s="96"/>
    </row>
    <row r="669" spans="2:28" s="99" customFormat="1" ht="15.75" customHeight="1" x14ac:dyDescent="0.25"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  <c r="AA669" s="96"/>
      <c r="AB669" s="96"/>
    </row>
    <row r="670" spans="2:28" s="99" customFormat="1" ht="15.75" customHeight="1" x14ac:dyDescent="0.25"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  <c r="AA670" s="96"/>
      <c r="AB670" s="96"/>
    </row>
    <row r="671" spans="2:28" s="99" customFormat="1" ht="15.75" customHeight="1" x14ac:dyDescent="0.25"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  <c r="AA671" s="96"/>
      <c r="AB671" s="96"/>
    </row>
    <row r="672" spans="2:28" s="99" customFormat="1" ht="15.75" customHeight="1" x14ac:dyDescent="0.25"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  <c r="AA672" s="96"/>
      <c r="AB672" s="96"/>
    </row>
    <row r="673" spans="2:28" s="99" customFormat="1" ht="15.75" customHeight="1" x14ac:dyDescent="0.25"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  <c r="AA673" s="96"/>
      <c r="AB673" s="96"/>
    </row>
    <row r="674" spans="2:28" s="99" customFormat="1" ht="15.75" customHeight="1" x14ac:dyDescent="0.25"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  <c r="AA674" s="96"/>
      <c r="AB674" s="96"/>
    </row>
    <row r="675" spans="2:28" s="99" customFormat="1" ht="15.75" customHeight="1" x14ac:dyDescent="0.25"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  <c r="AA675" s="96"/>
      <c r="AB675" s="96"/>
    </row>
    <row r="676" spans="2:28" s="99" customFormat="1" ht="15.75" customHeight="1" x14ac:dyDescent="0.25"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  <c r="AA676" s="96"/>
      <c r="AB676" s="96"/>
    </row>
    <row r="677" spans="2:28" s="99" customFormat="1" ht="15.75" customHeight="1" x14ac:dyDescent="0.25"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  <c r="AA677" s="96"/>
      <c r="AB677" s="96"/>
    </row>
    <row r="678" spans="2:28" s="99" customFormat="1" ht="15.75" customHeight="1" x14ac:dyDescent="0.25"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  <c r="AA678" s="96"/>
      <c r="AB678" s="96"/>
    </row>
    <row r="679" spans="2:28" s="99" customFormat="1" ht="15.75" customHeight="1" x14ac:dyDescent="0.25"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  <c r="AA679" s="96"/>
      <c r="AB679" s="96"/>
    </row>
    <row r="680" spans="2:28" s="99" customFormat="1" ht="15.75" customHeight="1" x14ac:dyDescent="0.25"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  <c r="AA680" s="96"/>
      <c r="AB680" s="96"/>
    </row>
    <row r="681" spans="2:28" s="99" customFormat="1" ht="15.75" customHeight="1" x14ac:dyDescent="0.25"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  <c r="AA681" s="96"/>
      <c r="AB681" s="96"/>
    </row>
    <row r="682" spans="2:28" s="99" customFormat="1" ht="15.75" customHeight="1" x14ac:dyDescent="0.25"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  <c r="AA682" s="96"/>
      <c r="AB682" s="96"/>
    </row>
    <row r="683" spans="2:28" s="99" customFormat="1" ht="15.75" customHeight="1" x14ac:dyDescent="0.25"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  <c r="AA683" s="96"/>
      <c r="AB683" s="96"/>
    </row>
    <row r="684" spans="2:28" s="99" customFormat="1" ht="15.75" customHeight="1" x14ac:dyDescent="0.25"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  <c r="AA684" s="96"/>
      <c r="AB684" s="96"/>
    </row>
    <row r="685" spans="2:28" s="99" customFormat="1" ht="15.75" customHeight="1" x14ac:dyDescent="0.25"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  <c r="AA685" s="96"/>
      <c r="AB685" s="96"/>
    </row>
    <row r="686" spans="2:28" s="99" customFormat="1" ht="15.75" customHeight="1" x14ac:dyDescent="0.25"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  <c r="AA686" s="96"/>
      <c r="AB686" s="96"/>
    </row>
    <row r="687" spans="2:28" s="99" customFormat="1" ht="15.75" customHeight="1" x14ac:dyDescent="0.25"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  <c r="AA687" s="96"/>
      <c r="AB687" s="96"/>
    </row>
    <row r="688" spans="2:28" s="99" customFormat="1" ht="15.75" customHeight="1" x14ac:dyDescent="0.25"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  <c r="AA688" s="96"/>
      <c r="AB688" s="96"/>
    </row>
    <row r="689" spans="2:28" s="99" customFormat="1" ht="15.75" customHeight="1" x14ac:dyDescent="0.25"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  <c r="AA689" s="96"/>
      <c r="AB689" s="96"/>
    </row>
    <row r="690" spans="2:28" s="99" customFormat="1" ht="15.75" customHeight="1" x14ac:dyDescent="0.25"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  <c r="AA690" s="96"/>
      <c r="AB690" s="96"/>
    </row>
    <row r="691" spans="2:28" s="99" customFormat="1" ht="15.75" customHeight="1" x14ac:dyDescent="0.25"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  <c r="AA691" s="96"/>
      <c r="AB691" s="96"/>
    </row>
    <row r="692" spans="2:28" s="99" customFormat="1" ht="15.75" customHeight="1" x14ac:dyDescent="0.25"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  <c r="AA692" s="96"/>
      <c r="AB692" s="96"/>
    </row>
    <row r="693" spans="2:28" s="99" customFormat="1" ht="15.75" customHeight="1" x14ac:dyDescent="0.25"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  <c r="AA693" s="96"/>
      <c r="AB693" s="96"/>
    </row>
    <row r="694" spans="2:28" s="99" customFormat="1" ht="15.75" customHeight="1" x14ac:dyDescent="0.25"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  <c r="AA694" s="96"/>
      <c r="AB694" s="96"/>
    </row>
    <row r="695" spans="2:28" s="99" customFormat="1" ht="15.75" customHeight="1" x14ac:dyDescent="0.25"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  <c r="AA695" s="96"/>
      <c r="AB695" s="96"/>
    </row>
    <row r="696" spans="2:28" s="99" customFormat="1" ht="15.75" customHeight="1" x14ac:dyDescent="0.25"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  <c r="AA696" s="96"/>
      <c r="AB696" s="96"/>
    </row>
    <row r="697" spans="2:28" s="99" customFormat="1" ht="15.75" customHeight="1" x14ac:dyDescent="0.25"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  <c r="AA697" s="96"/>
      <c r="AB697" s="96"/>
    </row>
    <row r="698" spans="2:28" s="99" customFormat="1" ht="15.75" customHeight="1" x14ac:dyDescent="0.25"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  <c r="AA698" s="96"/>
      <c r="AB698" s="96"/>
    </row>
    <row r="699" spans="2:28" s="99" customFormat="1" ht="15.75" customHeight="1" x14ac:dyDescent="0.25"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  <c r="AA699" s="96"/>
      <c r="AB699" s="96"/>
    </row>
    <row r="700" spans="2:28" s="99" customFormat="1" ht="15.75" customHeight="1" x14ac:dyDescent="0.25"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  <c r="AA700" s="96"/>
      <c r="AB700" s="96"/>
    </row>
    <row r="701" spans="2:28" s="99" customFormat="1" ht="15.75" customHeight="1" x14ac:dyDescent="0.25"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  <c r="AA701" s="96"/>
      <c r="AB701" s="96"/>
    </row>
    <row r="702" spans="2:28" s="99" customFormat="1" ht="15.75" customHeight="1" x14ac:dyDescent="0.25"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  <c r="AA702" s="96"/>
      <c r="AB702" s="96"/>
    </row>
    <row r="703" spans="2:28" s="99" customFormat="1" ht="15.75" customHeight="1" x14ac:dyDescent="0.25"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  <c r="AA703" s="96"/>
      <c r="AB703" s="96"/>
    </row>
    <row r="704" spans="2:28" s="99" customFormat="1" ht="15.75" customHeight="1" x14ac:dyDescent="0.25"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  <c r="AA704" s="96"/>
      <c r="AB704" s="96"/>
    </row>
    <row r="705" spans="2:28" s="99" customFormat="1" ht="15.75" customHeight="1" x14ac:dyDescent="0.25"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  <c r="AA705" s="96"/>
      <c r="AB705" s="96"/>
    </row>
    <row r="706" spans="2:28" s="99" customFormat="1" ht="15.75" customHeight="1" x14ac:dyDescent="0.25"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  <c r="AA706" s="96"/>
      <c r="AB706" s="96"/>
    </row>
    <row r="707" spans="2:28" s="99" customFormat="1" ht="15.75" customHeight="1" x14ac:dyDescent="0.25"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  <c r="AA707" s="96"/>
      <c r="AB707" s="96"/>
    </row>
    <row r="708" spans="2:28" s="99" customFormat="1" ht="15.75" customHeight="1" x14ac:dyDescent="0.25"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  <c r="AA708" s="96"/>
      <c r="AB708" s="96"/>
    </row>
    <row r="709" spans="2:28" s="99" customFormat="1" ht="15.75" customHeight="1" x14ac:dyDescent="0.25"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  <c r="AA709" s="96"/>
      <c r="AB709" s="96"/>
    </row>
    <row r="710" spans="2:28" s="99" customFormat="1" ht="15.75" customHeight="1" x14ac:dyDescent="0.25"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  <c r="AA710" s="96"/>
      <c r="AB710" s="96"/>
    </row>
    <row r="711" spans="2:28" s="99" customFormat="1" ht="15.75" customHeight="1" x14ac:dyDescent="0.25"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  <c r="AA711" s="96"/>
      <c r="AB711" s="96"/>
    </row>
    <row r="712" spans="2:28" s="99" customFormat="1" ht="15.75" customHeight="1" x14ac:dyDescent="0.25"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  <c r="AA712" s="96"/>
      <c r="AB712" s="96"/>
    </row>
    <row r="713" spans="2:28" s="99" customFormat="1" ht="15.75" customHeight="1" x14ac:dyDescent="0.25"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  <c r="AA713" s="96"/>
      <c r="AB713" s="96"/>
    </row>
    <row r="714" spans="2:28" s="99" customFormat="1" ht="15.75" customHeight="1" x14ac:dyDescent="0.25"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  <c r="AA714" s="96"/>
      <c r="AB714" s="96"/>
    </row>
    <row r="715" spans="2:28" s="99" customFormat="1" ht="15.75" customHeight="1" x14ac:dyDescent="0.25"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  <c r="AA715" s="96"/>
      <c r="AB715" s="96"/>
    </row>
    <row r="716" spans="2:28" s="99" customFormat="1" ht="15.75" customHeight="1" x14ac:dyDescent="0.25"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  <c r="AA716" s="96"/>
      <c r="AB716" s="96"/>
    </row>
    <row r="717" spans="2:28" s="99" customFormat="1" ht="15.75" customHeight="1" x14ac:dyDescent="0.25"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  <c r="AA717" s="96"/>
      <c r="AB717" s="96"/>
    </row>
    <row r="718" spans="2:28" s="99" customFormat="1" ht="15.75" customHeight="1" x14ac:dyDescent="0.25"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  <c r="AA718" s="96"/>
      <c r="AB718" s="96"/>
    </row>
    <row r="719" spans="2:28" s="99" customFormat="1" ht="15.75" customHeight="1" x14ac:dyDescent="0.25"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  <c r="AA719" s="96"/>
      <c r="AB719" s="96"/>
    </row>
    <row r="720" spans="2:28" s="99" customFormat="1" ht="15.75" customHeight="1" x14ac:dyDescent="0.25"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  <c r="AA720" s="96"/>
      <c r="AB720" s="96"/>
    </row>
    <row r="721" spans="2:28" s="99" customFormat="1" ht="15.75" customHeight="1" x14ac:dyDescent="0.25"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  <c r="AA721" s="96"/>
      <c r="AB721" s="96"/>
    </row>
    <row r="722" spans="2:28" s="99" customFormat="1" ht="15.75" customHeight="1" x14ac:dyDescent="0.25"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  <c r="AA722" s="96"/>
      <c r="AB722" s="96"/>
    </row>
    <row r="723" spans="2:28" s="99" customFormat="1" ht="15.75" customHeight="1" x14ac:dyDescent="0.25"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  <c r="AA723" s="96"/>
      <c r="AB723" s="96"/>
    </row>
    <row r="724" spans="2:28" s="99" customFormat="1" ht="15.75" customHeight="1" x14ac:dyDescent="0.25"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  <c r="AA724" s="96"/>
      <c r="AB724" s="96"/>
    </row>
    <row r="725" spans="2:28" s="99" customFormat="1" ht="15.75" customHeight="1" x14ac:dyDescent="0.25"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  <c r="AA725" s="96"/>
      <c r="AB725" s="96"/>
    </row>
    <row r="726" spans="2:28" s="99" customFormat="1" ht="15.75" customHeight="1" x14ac:dyDescent="0.25"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  <c r="AA726" s="96"/>
      <c r="AB726" s="96"/>
    </row>
    <row r="727" spans="2:28" s="99" customFormat="1" ht="15.75" customHeight="1" x14ac:dyDescent="0.25"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  <c r="AA727" s="96"/>
      <c r="AB727" s="96"/>
    </row>
    <row r="728" spans="2:28" s="99" customFormat="1" ht="15.75" customHeight="1" x14ac:dyDescent="0.25"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  <c r="AA728" s="96"/>
      <c r="AB728" s="96"/>
    </row>
    <row r="729" spans="2:28" s="99" customFormat="1" ht="15.75" customHeight="1" x14ac:dyDescent="0.25"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  <c r="AA729" s="96"/>
      <c r="AB729" s="96"/>
    </row>
    <row r="730" spans="2:28" s="99" customFormat="1" ht="15.75" customHeight="1" x14ac:dyDescent="0.25"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  <c r="AA730" s="96"/>
      <c r="AB730" s="96"/>
    </row>
    <row r="731" spans="2:28" s="99" customFormat="1" ht="15.75" customHeight="1" x14ac:dyDescent="0.25"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  <c r="AA731" s="96"/>
      <c r="AB731" s="96"/>
    </row>
    <row r="732" spans="2:28" s="99" customFormat="1" ht="15.75" customHeight="1" x14ac:dyDescent="0.25"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  <c r="AA732" s="96"/>
      <c r="AB732" s="96"/>
    </row>
    <row r="733" spans="2:28" s="99" customFormat="1" ht="15.75" customHeight="1" x14ac:dyDescent="0.25"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  <c r="AA733" s="96"/>
      <c r="AB733" s="96"/>
    </row>
    <row r="734" spans="2:28" s="99" customFormat="1" ht="15.75" customHeight="1" x14ac:dyDescent="0.25"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  <c r="AA734" s="96"/>
      <c r="AB734" s="96"/>
    </row>
    <row r="735" spans="2:28" s="99" customFormat="1" ht="15.75" customHeight="1" x14ac:dyDescent="0.25"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  <c r="AA735" s="96"/>
      <c r="AB735" s="96"/>
    </row>
    <row r="736" spans="2:28" s="99" customFormat="1" ht="15.75" customHeight="1" x14ac:dyDescent="0.25"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  <c r="AA736" s="96"/>
      <c r="AB736" s="96"/>
    </row>
    <row r="737" spans="2:28" s="99" customFormat="1" ht="15.75" customHeight="1" x14ac:dyDescent="0.25"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  <c r="AA737" s="96"/>
      <c r="AB737" s="96"/>
    </row>
    <row r="738" spans="2:28" s="99" customFormat="1" ht="15.75" customHeight="1" x14ac:dyDescent="0.25"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  <c r="AA738" s="96"/>
      <c r="AB738" s="96"/>
    </row>
    <row r="739" spans="2:28" s="99" customFormat="1" ht="15.75" customHeight="1" x14ac:dyDescent="0.25"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  <c r="AA739" s="96"/>
      <c r="AB739" s="96"/>
    </row>
    <row r="740" spans="2:28" s="99" customFormat="1" ht="15.75" customHeight="1" x14ac:dyDescent="0.25"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  <c r="AA740" s="96"/>
      <c r="AB740" s="96"/>
    </row>
    <row r="741" spans="2:28" s="99" customFormat="1" ht="15.75" customHeight="1" x14ac:dyDescent="0.25"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  <c r="AA741" s="96"/>
      <c r="AB741" s="96"/>
    </row>
    <row r="742" spans="2:28" s="99" customFormat="1" ht="15.75" customHeight="1" x14ac:dyDescent="0.25"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  <c r="AA742" s="96"/>
      <c r="AB742" s="96"/>
    </row>
    <row r="743" spans="2:28" s="99" customFormat="1" ht="15.75" customHeight="1" x14ac:dyDescent="0.25"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  <c r="AA743" s="96"/>
      <c r="AB743" s="96"/>
    </row>
    <row r="744" spans="2:28" s="99" customFormat="1" ht="15.75" customHeight="1" x14ac:dyDescent="0.25"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  <c r="AA744" s="96"/>
      <c r="AB744" s="96"/>
    </row>
    <row r="745" spans="2:28" s="99" customFormat="1" ht="15.75" customHeight="1" x14ac:dyDescent="0.25"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  <c r="AA745" s="96"/>
      <c r="AB745" s="96"/>
    </row>
    <row r="746" spans="2:28" s="99" customFormat="1" ht="15.75" customHeight="1" x14ac:dyDescent="0.25"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  <c r="AA746" s="96"/>
      <c r="AB746" s="96"/>
    </row>
    <row r="747" spans="2:28" s="99" customFormat="1" ht="15.75" customHeight="1" x14ac:dyDescent="0.25"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  <c r="AA747" s="96"/>
      <c r="AB747" s="96"/>
    </row>
    <row r="748" spans="2:28" s="99" customFormat="1" ht="15.75" customHeight="1" x14ac:dyDescent="0.25"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  <c r="AA748" s="96"/>
      <c r="AB748" s="96"/>
    </row>
    <row r="749" spans="2:28" s="99" customFormat="1" ht="15.75" customHeight="1" x14ac:dyDescent="0.25"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  <c r="AA749" s="96"/>
      <c r="AB749" s="96"/>
    </row>
    <row r="750" spans="2:28" s="99" customFormat="1" ht="15.75" customHeight="1" x14ac:dyDescent="0.25"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  <c r="AA750" s="96"/>
      <c r="AB750" s="96"/>
    </row>
    <row r="751" spans="2:28" s="99" customFormat="1" ht="15.75" customHeight="1" x14ac:dyDescent="0.25"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  <c r="AA751" s="96"/>
      <c r="AB751" s="96"/>
    </row>
    <row r="752" spans="2:28" s="99" customFormat="1" ht="15.75" customHeight="1" x14ac:dyDescent="0.25"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  <c r="AA752" s="96"/>
      <c r="AB752" s="96"/>
    </row>
    <row r="753" spans="2:28" s="99" customFormat="1" ht="15.75" customHeight="1" x14ac:dyDescent="0.25"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  <c r="AA753" s="96"/>
      <c r="AB753" s="96"/>
    </row>
    <row r="754" spans="2:28" s="99" customFormat="1" ht="15.75" customHeight="1" x14ac:dyDescent="0.25"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  <c r="AA754" s="96"/>
      <c r="AB754" s="96"/>
    </row>
    <row r="755" spans="2:28" s="99" customFormat="1" ht="15.75" customHeight="1" x14ac:dyDescent="0.25"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  <c r="AA755" s="96"/>
      <c r="AB755" s="96"/>
    </row>
    <row r="756" spans="2:28" s="99" customFormat="1" ht="15.75" customHeight="1" x14ac:dyDescent="0.25"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  <c r="AA756" s="96"/>
      <c r="AB756" s="96"/>
    </row>
    <row r="757" spans="2:28" s="99" customFormat="1" ht="15.75" customHeight="1" x14ac:dyDescent="0.25"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  <c r="AA757" s="96"/>
      <c r="AB757" s="96"/>
    </row>
    <row r="758" spans="2:28" s="99" customFormat="1" ht="15.75" customHeight="1" x14ac:dyDescent="0.25"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  <c r="AA758" s="96"/>
      <c r="AB758" s="96"/>
    </row>
    <row r="759" spans="2:28" s="99" customFormat="1" ht="15.75" customHeight="1" x14ac:dyDescent="0.25"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  <c r="AA759" s="96"/>
      <c r="AB759" s="96"/>
    </row>
    <row r="760" spans="2:28" s="99" customFormat="1" ht="15.75" customHeight="1" x14ac:dyDescent="0.25"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  <c r="AA760" s="96"/>
      <c r="AB760" s="96"/>
    </row>
    <row r="761" spans="2:28" s="99" customFormat="1" ht="15.75" customHeight="1" x14ac:dyDescent="0.25"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  <c r="AA761" s="96"/>
      <c r="AB761" s="96"/>
    </row>
    <row r="762" spans="2:28" s="99" customFormat="1" ht="15.75" customHeight="1" x14ac:dyDescent="0.25"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  <c r="AA762" s="96"/>
      <c r="AB762" s="96"/>
    </row>
    <row r="763" spans="2:28" s="99" customFormat="1" ht="15.75" customHeight="1" x14ac:dyDescent="0.25"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  <c r="AA763" s="96"/>
      <c r="AB763" s="96"/>
    </row>
    <row r="764" spans="2:28" s="99" customFormat="1" ht="15.75" customHeight="1" x14ac:dyDescent="0.25"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  <c r="AA764" s="96"/>
      <c r="AB764" s="96"/>
    </row>
    <row r="765" spans="2:28" s="99" customFormat="1" ht="15.75" customHeight="1" x14ac:dyDescent="0.25"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  <c r="AA765" s="96"/>
      <c r="AB765" s="96"/>
    </row>
    <row r="766" spans="2:28" s="99" customFormat="1" ht="15.75" customHeight="1" x14ac:dyDescent="0.25"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  <c r="AA766" s="96"/>
      <c r="AB766" s="96"/>
    </row>
    <row r="767" spans="2:28" s="99" customFormat="1" ht="15.75" customHeight="1" x14ac:dyDescent="0.25"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  <c r="AA767" s="96"/>
      <c r="AB767" s="96"/>
    </row>
    <row r="768" spans="2:28" s="99" customFormat="1" ht="15.75" customHeight="1" x14ac:dyDescent="0.25"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  <c r="AA768" s="96"/>
      <c r="AB768" s="96"/>
    </row>
    <row r="769" spans="2:28" s="99" customFormat="1" ht="15.75" customHeight="1" x14ac:dyDescent="0.25"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  <c r="AA769" s="96"/>
      <c r="AB769" s="96"/>
    </row>
    <row r="770" spans="2:28" s="99" customFormat="1" ht="15.75" customHeight="1" x14ac:dyDescent="0.25"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  <c r="AA770" s="96"/>
      <c r="AB770" s="96"/>
    </row>
    <row r="771" spans="2:28" s="99" customFormat="1" ht="15.75" customHeight="1" x14ac:dyDescent="0.25"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  <c r="AA771" s="96"/>
      <c r="AB771" s="96"/>
    </row>
    <row r="772" spans="2:28" s="99" customFormat="1" ht="15.75" customHeight="1" x14ac:dyDescent="0.25"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  <c r="AA772" s="96"/>
      <c r="AB772" s="96"/>
    </row>
    <row r="773" spans="2:28" s="99" customFormat="1" ht="15.75" customHeight="1" x14ac:dyDescent="0.25"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  <c r="AA773" s="96"/>
      <c r="AB773" s="96"/>
    </row>
    <row r="774" spans="2:28" s="99" customFormat="1" ht="15.75" customHeight="1" x14ac:dyDescent="0.25"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  <c r="AA774" s="96"/>
      <c r="AB774" s="96"/>
    </row>
    <row r="775" spans="2:28" s="99" customFormat="1" ht="15.75" customHeight="1" x14ac:dyDescent="0.25"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  <c r="AA775" s="96"/>
      <c r="AB775" s="96"/>
    </row>
    <row r="776" spans="2:28" s="99" customFormat="1" ht="15.75" customHeight="1" x14ac:dyDescent="0.25"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  <c r="AA776" s="96"/>
      <c r="AB776" s="96"/>
    </row>
    <row r="777" spans="2:28" s="99" customFormat="1" ht="15.75" customHeight="1" x14ac:dyDescent="0.25"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  <c r="AA777" s="96"/>
      <c r="AB777" s="96"/>
    </row>
    <row r="778" spans="2:28" s="99" customFormat="1" ht="15.75" customHeight="1" x14ac:dyDescent="0.25"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  <c r="AA778" s="96"/>
      <c r="AB778" s="96"/>
    </row>
    <row r="779" spans="2:28" s="99" customFormat="1" ht="15.75" customHeight="1" x14ac:dyDescent="0.25"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  <c r="AA779" s="96"/>
      <c r="AB779" s="96"/>
    </row>
    <row r="780" spans="2:28" s="99" customFormat="1" ht="15.75" customHeight="1" x14ac:dyDescent="0.25"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  <c r="AA780" s="96"/>
      <c r="AB780" s="96"/>
    </row>
    <row r="781" spans="2:28" s="99" customFormat="1" ht="15.75" customHeight="1" x14ac:dyDescent="0.25"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  <c r="AA781" s="96"/>
      <c r="AB781" s="96"/>
    </row>
    <row r="782" spans="2:28" s="99" customFormat="1" ht="15.75" customHeight="1" x14ac:dyDescent="0.25"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  <c r="AA782" s="96"/>
      <c r="AB782" s="96"/>
    </row>
    <row r="783" spans="2:28" s="99" customFormat="1" ht="15.75" customHeight="1" x14ac:dyDescent="0.25"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  <c r="AA783" s="96"/>
      <c r="AB783" s="96"/>
    </row>
    <row r="784" spans="2:28" s="99" customFormat="1" ht="15.75" customHeight="1" x14ac:dyDescent="0.25"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  <c r="AA784" s="96"/>
      <c r="AB784" s="96"/>
    </row>
    <row r="785" spans="2:28" s="99" customFormat="1" ht="15.75" customHeight="1" x14ac:dyDescent="0.25"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  <c r="AA785" s="96"/>
      <c r="AB785" s="96"/>
    </row>
    <row r="786" spans="2:28" s="99" customFormat="1" ht="15.75" customHeight="1" x14ac:dyDescent="0.25"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  <c r="AA786" s="96"/>
      <c r="AB786" s="96"/>
    </row>
    <row r="787" spans="2:28" s="99" customFormat="1" ht="15.75" customHeight="1" x14ac:dyDescent="0.25"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  <c r="AA787" s="96"/>
      <c r="AB787" s="96"/>
    </row>
    <row r="788" spans="2:28" s="99" customFormat="1" ht="15.75" customHeight="1" x14ac:dyDescent="0.25"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  <c r="AA788" s="96"/>
      <c r="AB788" s="96"/>
    </row>
    <row r="789" spans="2:28" s="99" customFormat="1" ht="15.75" customHeight="1" x14ac:dyDescent="0.25"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  <c r="AA789" s="96"/>
      <c r="AB789" s="96"/>
    </row>
    <row r="790" spans="2:28" s="99" customFormat="1" ht="15.75" customHeight="1" x14ac:dyDescent="0.25"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  <c r="AA790" s="96"/>
      <c r="AB790" s="96"/>
    </row>
    <row r="791" spans="2:28" s="99" customFormat="1" ht="15.75" customHeight="1" x14ac:dyDescent="0.25"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  <c r="AA791" s="96"/>
      <c r="AB791" s="96"/>
    </row>
    <row r="792" spans="2:28" s="99" customFormat="1" ht="15.75" customHeight="1" x14ac:dyDescent="0.25"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  <c r="AA792" s="96"/>
      <c r="AB792" s="96"/>
    </row>
    <row r="793" spans="2:28" s="99" customFormat="1" ht="15.75" customHeight="1" x14ac:dyDescent="0.25"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  <c r="AA793" s="96"/>
      <c r="AB793" s="96"/>
    </row>
    <row r="794" spans="2:28" s="99" customFormat="1" ht="15.75" customHeight="1" x14ac:dyDescent="0.25"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  <c r="AA794" s="96"/>
      <c r="AB794" s="96"/>
    </row>
    <row r="795" spans="2:28" s="99" customFormat="1" ht="15.75" customHeight="1" x14ac:dyDescent="0.25"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  <c r="AA795" s="96"/>
      <c r="AB795" s="96"/>
    </row>
    <row r="796" spans="2:28" s="99" customFormat="1" ht="15.75" customHeight="1" x14ac:dyDescent="0.25"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  <c r="AA796" s="96"/>
      <c r="AB796" s="96"/>
    </row>
    <row r="797" spans="2:28" s="99" customFormat="1" ht="15.75" customHeight="1" x14ac:dyDescent="0.25"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  <c r="AA797" s="96"/>
      <c r="AB797" s="96"/>
    </row>
    <row r="798" spans="2:28" s="99" customFormat="1" ht="15.75" customHeight="1" x14ac:dyDescent="0.25"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  <c r="AA798" s="96"/>
      <c r="AB798" s="96"/>
    </row>
    <row r="799" spans="2:28" s="99" customFormat="1" ht="15.75" customHeight="1" x14ac:dyDescent="0.25"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  <c r="AA799" s="96"/>
      <c r="AB799" s="96"/>
    </row>
    <row r="800" spans="2:28" s="99" customFormat="1" ht="15.75" customHeight="1" x14ac:dyDescent="0.25"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  <c r="AA800" s="96"/>
      <c r="AB800" s="96"/>
    </row>
    <row r="801" spans="2:28" s="99" customFormat="1" ht="15.75" customHeight="1" x14ac:dyDescent="0.25"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  <c r="AA801" s="96"/>
      <c r="AB801" s="96"/>
    </row>
    <row r="802" spans="2:28" s="99" customFormat="1" ht="15.75" customHeight="1" x14ac:dyDescent="0.25"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  <c r="AA802" s="96"/>
      <c r="AB802" s="96"/>
    </row>
    <row r="803" spans="2:28" s="99" customFormat="1" ht="15.75" customHeight="1" x14ac:dyDescent="0.25"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  <c r="AA803" s="96"/>
      <c r="AB803" s="96"/>
    </row>
    <row r="804" spans="2:28" s="99" customFormat="1" ht="15.75" customHeight="1" x14ac:dyDescent="0.25"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  <c r="AA804" s="96"/>
      <c r="AB804" s="96"/>
    </row>
    <row r="805" spans="2:28" s="99" customFormat="1" ht="15.75" customHeight="1" x14ac:dyDescent="0.25"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  <c r="AA805" s="96"/>
      <c r="AB805" s="96"/>
    </row>
    <row r="806" spans="2:28" s="99" customFormat="1" ht="15.75" customHeight="1" x14ac:dyDescent="0.25"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  <c r="AA806" s="96"/>
      <c r="AB806" s="96"/>
    </row>
    <row r="807" spans="2:28" s="99" customFormat="1" ht="15.75" customHeight="1" x14ac:dyDescent="0.25"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  <c r="AA807" s="96"/>
      <c r="AB807" s="96"/>
    </row>
    <row r="808" spans="2:28" s="99" customFormat="1" ht="15.75" customHeight="1" x14ac:dyDescent="0.25"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  <c r="AA808" s="96"/>
      <c r="AB808" s="96"/>
    </row>
    <row r="809" spans="2:28" s="99" customFormat="1" ht="15.75" customHeight="1" x14ac:dyDescent="0.25"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  <c r="AA809" s="96"/>
      <c r="AB809" s="96"/>
    </row>
    <row r="810" spans="2:28" s="99" customFormat="1" ht="15.75" customHeight="1" x14ac:dyDescent="0.25"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  <c r="AA810" s="96"/>
      <c r="AB810" s="96"/>
    </row>
    <row r="811" spans="2:28" s="99" customFormat="1" ht="15.75" customHeight="1" x14ac:dyDescent="0.25"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  <c r="AA811" s="96"/>
      <c r="AB811" s="96"/>
    </row>
    <row r="812" spans="2:28" s="99" customFormat="1" ht="15.75" customHeight="1" x14ac:dyDescent="0.25"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  <c r="AA812" s="96"/>
      <c r="AB812" s="96"/>
    </row>
    <row r="813" spans="2:28" s="99" customFormat="1" ht="15.75" customHeight="1" x14ac:dyDescent="0.25"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  <c r="AA813" s="96"/>
      <c r="AB813" s="96"/>
    </row>
    <row r="814" spans="2:28" s="99" customFormat="1" ht="15.75" customHeight="1" x14ac:dyDescent="0.25"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  <c r="AA814" s="96"/>
      <c r="AB814" s="96"/>
    </row>
    <row r="815" spans="2:28" s="99" customFormat="1" ht="15.75" customHeight="1" x14ac:dyDescent="0.25"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  <c r="AA815" s="96"/>
      <c r="AB815" s="96"/>
    </row>
    <row r="816" spans="2:28" s="99" customFormat="1" ht="15.75" customHeight="1" x14ac:dyDescent="0.25"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  <c r="AA816" s="96"/>
      <c r="AB816" s="96"/>
    </row>
  </sheetData>
  <mergeCells count="9">
    <mergeCell ref="A1:J1"/>
    <mergeCell ref="A2:J2"/>
    <mergeCell ref="A3:J3"/>
    <mergeCell ref="A4:J4"/>
    <mergeCell ref="A5:A6"/>
    <mergeCell ref="B5:B6"/>
    <mergeCell ref="C5:C6"/>
    <mergeCell ref="D5:D6"/>
    <mergeCell ref="I5:I6"/>
  </mergeCells>
  <printOptions horizontalCentered="1"/>
  <pageMargins left="0.70866141732283472" right="0.70866141732283472" top="0.19685039370078741" bottom="0.19685039370078741" header="0" footer="0"/>
  <pageSetup paperSize="9" scale="64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33"/>
  <sheetViews>
    <sheetView view="pageBreakPreview" zoomScale="60" zoomScaleNormal="85" workbookViewId="0">
      <selection activeCell="H13" sqref="H13"/>
    </sheetView>
  </sheetViews>
  <sheetFormatPr defaultColWidth="12.5703125" defaultRowHeight="15" customHeight="1" x14ac:dyDescent="0.25"/>
  <cols>
    <col min="1" max="1" width="7.7109375" style="99" customWidth="1"/>
    <col min="2" max="2" width="23.28515625" style="96" bestFit="1" customWidth="1"/>
    <col min="3" max="3" width="36.5703125" style="96" customWidth="1"/>
    <col min="4" max="4" width="15.85546875" style="96" hidden="1" customWidth="1"/>
    <col min="5" max="8" width="16.28515625" style="96" customWidth="1"/>
    <col min="9" max="9" width="16.28515625" style="96" hidden="1" customWidth="1"/>
    <col min="10" max="10" width="13.5703125" style="96" hidden="1" customWidth="1"/>
    <col min="11" max="11" width="16.140625" style="96" hidden="1" customWidth="1"/>
    <col min="12" max="12" width="11.140625" style="96" hidden="1" customWidth="1"/>
    <col min="13" max="28" width="7.5703125" style="96" customWidth="1"/>
    <col min="29" max="16384" width="12.5703125" style="96"/>
  </cols>
  <sheetData>
    <row r="1" spans="1:12" ht="30" customHeight="1" thickBot="1" x14ac:dyDescent="0.3">
      <c r="A1" s="171" t="s">
        <v>0</v>
      </c>
      <c r="B1" s="172"/>
      <c r="C1" s="172"/>
      <c r="D1" s="172"/>
      <c r="E1" s="172"/>
      <c r="F1" s="172"/>
      <c r="G1" s="172"/>
      <c r="H1" s="172"/>
      <c r="I1" s="172"/>
      <c r="J1" s="173"/>
    </row>
    <row r="2" spans="1:12" ht="30" customHeight="1" thickBot="1" x14ac:dyDescent="0.3">
      <c r="A2" s="171" t="s">
        <v>1</v>
      </c>
      <c r="B2" s="172"/>
      <c r="C2" s="172"/>
      <c r="D2" s="172"/>
      <c r="E2" s="172"/>
      <c r="F2" s="172"/>
      <c r="G2" s="172"/>
      <c r="H2" s="172"/>
      <c r="I2" s="172"/>
      <c r="J2" s="173"/>
    </row>
    <row r="3" spans="1:12" ht="30" customHeight="1" thickBot="1" x14ac:dyDescent="0.3">
      <c r="A3" s="171" t="s">
        <v>66</v>
      </c>
      <c r="B3" s="172"/>
      <c r="C3" s="172"/>
      <c r="D3" s="172"/>
      <c r="E3" s="172"/>
      <c r="F3" s="172"/>
      <c r="G3" s="172"/>
      <c r="H3" s="172"/>
      <c r="I3" s="172"/>
      <c r="J3" s="173"/>
    </row>
    <row r="4" spans="1:12" ht="30" customHeight="1" x14ac:dyDescent="0.25">
      <c r="A4" s="174" t="s">
        <v>622</v>
      </c>
      <c r="B4" s="175"/>
      <c r="C4" s="175"/>
      <c r="D4" s="175"/>
      <c r="E4" s="175"/>
      <c r="F4" s="175"/>
      <c r="G4" s="175"/>
      <c r="H4" s="175"/>
      <c r="I4" s="175"/>
      <c r="J4" s="176"/>
    </row>
    <row r="5" spans="1:12" ht="37.5" customHeight="1" x14ac:dyDescent="0.25">
      <c r="A5" s="181" t="s">
        <v>2</v>
      </c>
      <c r="B5" s="183" t="s">
        <v>3</v>
      </c>
      <c r="C5" s="183" t="s">
        <v>4</v>
      </c>
      <c r="D5" s="183" t="s">
        <v>5</v>
      </c>
      <c r="E5" s="64">
        <v>46118</v>
      </c>
      <c r="F5" s="64">
        <v>46118</v>
      </c>
      <c r="G5" s="64">
        <v>46119</v>
      </c>
      <c r="H5" s="64">
        <v>46119</v>
      </c>
      <c r="I5" s="185"/>
      <c r="J5" s="64">
        <v>46120</v>
      </c>
      <c r="K5" s="187" t="s">
        <v>7</v>
      </c>
      <c r="L5" s="189" t="s">
        <v>8</v>
      </c>
    </row>
    <row r="6" spans="1:12" ht="66" customHeight="1" x14ac:dyDescent="0.25">
      <c r="A6" s="182"/>
      <c r="B6" s="184"/>
      <c r="C6" s="184"/>
      <c r="D6" s="184"/>
      <c r="E6" s="97" t="s">
        <v>61</v>
      </c>
      <c r="F6" s="100" t="s">
        <v>62</v>
      </c>
      <c r="G6" s="100" t="s">
        <v>63</v>
      </c>
      <c r="H6" s="100" t="s">
        <v>64</v>
      </c>
      <c r="I6" s="186"/>
      <c r="J6" s="66" t="s">
        <v>71</v>
      </c>
      <c r="K6" s="188"/>
      <c r="L6" s="188"/>
    </row>
    <row r="7" spans="1:12" ht="24.95" customHeight="1" x14ac:dyDescent="0.25">
      <c r="A7" s="101">
        <v>1</v>
      </c>
      <c r="B7" s="102" t="s">
        <v>600</v>
      </c>
      <c r="C7" s="103" t="s">
        <v>601</v>
      </c>
      <c r="D7" s="104">
        <v>6.25</v>
      </c>
      <c r="E7" s="105"/>
      <c r="F7" s="105"/>
      <c r="G7" s="105"/>
      <c r="H7" s="105"/>
      <c r="I7" s="105"/>
    </row>
    <row r="8" spans="1:12" ht="24.95" customHeight="1" x14ac:dyDescent="0.25">
      <c r="A8" s="101">
        <v>2</v>
      </c>
      <c r="B8" s="102" t="s">
        <v>576</v>
      </c>
      <c r="C8" s="103" t="s">
        <v>577</v>
      </c>
      <c r="D8" s="104">
        <v>36.129032258064512</v>
      </c>
      <c r="E8" s="105"/>
      <c r="F8" s="105"/>
      <c r="G8" s="105"/>
      <c r="H8" s="105"/>
      <c r="I8" s="105"/>
    </row>
    <row r="9" spans="1:12" ht="24.95" customHeight="1" x14ac:dyDescent="0.25">
      <c r="A9" s="101">
        <v>3</v>
      </c>
      <c r="B9" s="102" t="s">
        <v>578</v>
      </c>
      <c r="C9" s="103" t="s">
        <v>579</v>
      </c>
      <c r="D9" s="104">
        <v>35.416666666666671</v>
      </c>
      <c r="E9" s="105"/>
      <c r="F9" s="105"/>
      <c r="G9" s="105"/>
      <c r="H9" s="105"/>
      <c r="I9" s="105"/>
    </row>
    <row r="10" spans="1:12" ht="24.95" customHeight="1" x14ac:dyDescent="0.25">
      <c r="A10" s="101">
        <v>4</v>
      </c>
      <c r="B10" s="102" t="s">
        <v>544</v>
      </c>
      <c r="C10" s="103" t="s">
        <v>545</v>
      </c>
      <c r="D10" s="104">
        <v>55.483870967741936</v>
      </c>
      <c r="E10" s="105"/>
      <c r="F10" s="105"/>
      <c r="G10" s="105"/>
      <c r="H10" s="105"/>
      <c r="I10" s="105"/>
    </row>
    <row r="11" spans="1:12" ht="24.95" customHeight="1" x14ac:dyDescent="0.25">
      <c r="A11" s="101">
        <v>5</v>
      </c>
      <c r="B11" s="102" t="s">
        <v>542</v>
      </c>
      <c r="C11" s="103" t="s">
        <v>543</v>
      </c>
      <c r="D11" s="104">
        <v>56.129032258064512</v>
      </c>
      <c r="E11" s="105"/>
      <c r="F11" s="105"/>
      <c r="G11" s="105"/>
      <c r="H11" s="105"/>
      <c r="I11" s="105"/>
    </row>
    <row r="12" spans="1:12" ht="24.95" customHeight="1" x14ac:dyDescent="0.25">
      <c r="A12" s="101">
        <v>6</v>
      </c>
      <c r="B12" s="102" t="s">
        <v>584</v>
      </c>
      <c r="C12" s="103" t="s">
        <v>585</v>
      </c>
      <c r="D12" s="104">
        <v>24.516129032258064</v>
      </c>
      <c r="E12" s="105"/>
      <c r="F12" s="105"/>
      <c r="G12" s="105"/>
      <c r="H12" s="105"/>
      <c r="I12" s="105"/>
    </row>
    <row r="13" spans="1:12" ht="24.95" customHeight="1" x14ac:dyDescent="0.25">
      <c r="A13" s="101">
        <v>7</v>
      </c>
      <c r="B13" s="102" t="s">
        <v>568</v>
      </c>
      <c r="C13" s="103" t="s">
        <v>569</v>
      </c>
      <c r="D13" s="104">
        <v>42.207792207792203</v>
      </c>
      <c r="E13" s="105"/>
      <c r="F13" s="105"/>
      <c r="G13" s="105"/>
      <c r="H13" s="105"/>
      <c r="I13" s="105"/>
    </row>
    <row r="14" spans="1:12" ht="24.95" customHeight="1" x14ac:dyDescent="0.25">
      <c r="A14" s="101">
        <v>8</v>
      </c>
      <c r="B14" s="102" t="s">
        <v>566</v>
      </c>
      <c r="C14" s="103" t="s">
        <v>567</v>
      </c>
      <c r="D14" s="104">
        <v>43.055555555555557</v>
      </c>
      <c r="E14" s="105"/>
      <c r="F14" s="105"/>
      <c r="G14" s="105"/>
      <c r="H14" s="105"/>
      <c r="I14" s="105"/>
    </row>
    <row r="15" spans="1:12" ht="24.95" customHeight="1" x14ac:dyDescent="0.25">
      <c r="A15" s="101">
        <v>9</v>
      </c>
      <c r="B15" s="102" t="s">
        <v>558</v>
      </c>
      <c r="C15" s="103" t="s">
        <v>559</v>
      </c>
      <c r="D15" s="104">
        <v>47.741935483870968</v>
      </c>
      <c r="E15" s="105"/>
      <c r="F15" s="105"/>
      <c r="G15" s="105"/>
      <c r="H15" s="105"/>
      <c r="I15" s="105"/>
    </row>
    <row r="16" spans="1:12" ht="24.95" customHeight="1" x14ac:dyDescent="0.25">
      <c r="A16" s="101">
        <v>10</v>
      </c>
      <c r="B16" s="102" t="s">
        <v>590</v>
      </c>
      <c r="C16" s="103" t="s">
        <v>591</v>
      </c>
      <c r="D16" s="104">
        <v>19.444444444444446</v>
      </c>
      <c r="E16" s="105"/>
      <c r="F16" s="105"/>
      <c r="G16" s="105"/>
      <c r="H16" s="105"/>
      <c r="I16" s="105"/>
    </row>
    <row r="17" spans="1:9" ht="24.95" customHeight="1" x14ac:dyDescent="0.25">
      <c r="A17" s="101">
        <v>11</v>
      </c>
      <c r="B17" s="102" t="s">
        <v>574</v>
      </c>
      <c r="C17" s="103" t="s">
        <v>575</v>
      </c>
      <c r="D17" s="104">
        <v>37.931034482758619</v>
      </c>
      <c r="E17" s="105"/>
      <c r="F17" s="105"/>
      <c r="G17" s="105"/>
      <c r="H17" s="105"/>
      <c r="I17" s="105"/>
    </row>
    <row r="18" spans="1:9" ht="24.95" customHeight="1" x14ac:dyDescent="0.25">
      <c r="A18" s="101">
        <v>12</v>
      </c>
      <c r="B18" s="102" t="s">
        <v>538</v>
      </c>
      <c r="C18" s="103" t="s">
        <v>539</v>
      </c>
      <c r="D18" s="104">
        <v>59.027777777777779</v>
      </c>
      <c r="E18" s="105"/>
      <c r="F18" s="105"/>
      <c r="G18" s="105"/>
      <c r="H18" s="105"/>
      <c r="I18" s="105"/>
    </row>
    <row r="19" spans="1:9" ht="24.95" customHeight="1" x14ac:dyDescent="0.25">
      <c r="A19" s="101">
        <v>13</v>
      </c>
      <c r="B19" s="102" t="s">
        <v>550</v>
      </c>
      <c r="C19" s="103" t="s">
        <v>551</v>
      </c>
      <c r="D19" s="104">
        <v>52.903225806451616</v>
      </c>
      <c r="E19" s="105"/>
      <c r="F19" s="105"/>
      <c r="G19" s="105"/>
      <c r="H19" s="105"/>
      <c r="I19" s="105"/>
    </row>
    <row r="20" spans="1:9" ht="24.95" customHeight="1" x14ac:dyDescent="0.25">
      <c r="A20" s="101">
        <v>14</v>
      </c>
      <c r="B20" s="102" t="s">
        <v>572</v>
      </c>
      <c r="C20" s="103" t="s">
        <v>573</v>
      </c>
      <c r="D20" s="104">
        <v>38.461538461538467</v>
      </c>
      <c r="E20" s="105"/>
      <c r="F20" s="105"/>
      <c r="G20" s="105"/>
      <c r="H20" s="105"/>
      <c r="I20" s="105"/>
    </row>
    <row r="21" spans="1:9" ht="24.95" customHeight="1" x14ac:dyDescent="0.25">
      <c r="A21" s="101">
        <v>15</v>
      </c>
      <c r="B21" s="102" t="s">
        <v>560</v>
      </c>
      <c r="C21" s="103" t="s">
        <v>561</v>
      </c>
      <c r="D21" s="104">
        <v>47.741935483870968</v>
      </c>
      <c r="E21" s="105"/>
      <c r="F21" s="105"/>
      <c r="G21" s="105"/>
      <c r="H21" s="105"/>
      <c r="I21" s="105"/>
    </row>
    <row r="22" spans="1:9" ht="24.95" customHeight="1" x14ac:dyDescent="0.25">
      <c r="A22" s="101">
        <v>16</v>
      </c>
      <c r="B22" s="102" t="s">
        <v>580</v>
      </c>
      <c r="C22" s="103" t="s">
        <v>581</v>
      </c>
      <c r="D22" s="104">
        <v>33.548387096774199</v>
      </c>
      <c r="E22" s="105"/>
      <c r="F22" s="105"/>
      <c r="G22" s="105"/>
      <c r="H22" s="105"/>
      <c r="I22" s="105"/>
    </row>
    <row r="23" spans="1:9" ht="24.95" customHeight="1" x14ac:dyDescent="0.25">
      <c r="A23" s="101">
        <v>17</v>
      </c>
      <c r="B23" s="102" t="s">
        <v>562</v>
      </c>
      <c r="C23" s="103" t="s">
        <v>563</v>
      </c>
      <c r="D23" s="104">
        <v>47.368421052631575</v>
      </c>
      <c r="E23" s="105"/>
      <c r="F23" s="105"/>
      <c r="G23" s="105"/>
      <c r="H23" s="105"/>
      <c r="I23" s="105"/>
    </row>
    <row r="24" spans="1:9" ht="24.95" customHeight="1" x14ac:dyDescent="0.25">
      <c r="A24" s="101">
        <v>18</v>
      </c>
      <c r="B24" s="106" t="s">
        <v>546</v>
      </c>
      <c r="C24" s="107" t="s">
        <v>547</v>
      </c>
      <c r="D24" s="104">
        <v>53.548387096774199</v>
      </c>
      <c r="E24" s="105"/>
      <c r="F24" s="105"/>
      <c r="G24" s="105"/>
      <c r="H24" s="105"/>
      <c r="I24" s="105"/>
    </row>
    <row r="25" spans="1:9" ht="24.95" customHeight="1" x14ac:dyDescent="0.25">
      <c r="A25" s="101">
        <v>19</v>
      </c>
      <c r="B25" s="102" t="s">
        <v>596</v>
      </c>
      <c r="C25" s="103" t="s">
        <v>597</v>
      </c>
      <c r="D25" s="104">
        <v>9.67741935483871</v>
      </c>
      <c r="E25" s="105"/>
      <c r="F25" s="105"/>
      <c r="G25" s="105"/>
      <c r="H25" s="105"/>
      <c r="I25" s="105"/>
    </row>
    <row r="26" spans="1:9" ht="24.95" customHeight="1" x14ac:dyDescent="0.25">
      <c r="A26" s="101">
        <v>20</v>
      </c>
      <c r="B26" s="102" t="s">
        <v>554</v>
      </c>
      <c r="C26" s="103" t="s">
        <v>555</v>
      </c>
      <c r="D26" s="104">
        <v>52.258064516129032</v>
      </c>
      <c r="E26" s="105"/>
      <c r="F26" s="105"/>
      <c r="G26" s="105"/>
      <c r="H26" s="105"/>
      <c r="I26" s="105"/>
    </row>
    <row r="27" spans="1:9" ht="24.95" customHeight="1" x14ac:dyDescent="0.25">
      <c r="A27" s="101">
        <v>21</v>
      </c>
      <c r="B27" s="102" t="s">
        <v>588</v>
      </c>
      <c r="C27" s="103" t="s">
        <v>589</v>
      </c>
      <c r="D27" s="104">
        <v>20.129870129870131</v>
      </c>
      <c r="E27" s="105"/>
      <c r="F27" s="105"/>
      <c r="G27" s="105"/>
      <c r="H27" s="105"/>
      <c r="I27" s="105"/>
    </row>
    <row r="28" spans="1:9" ht="24.95" customHeight="1" x14ac:dyDescent="0.25">
      <c r="A28" s="101">
        <v>22</v>
      </c>
      <c r="B28" s="102" t="s">
        <v>548</v>
      </c>
      <c r="C28" s="103" t="s">
        <v>549</v>
      </c>
      <c r="D28" s="104">
        <v>53.246753246753244</v>
      </c>
      <c r="E28" s="105"/>
      <c r="F28" s="105"/>
      <c r="G28" s="105"/>
      <c r="H28" s="105"/>
      <c r="I28" s="105"/>
    </row>
    <row r="29" spans="1:9" ht="24.95" customHeight="1" x14ac:dyDescent="0.25">
      <c r="A29" s="101">
        <v>23</v>
      </c>
      <c r="B29" s="102" t="s">
        <v>564</v>
      </c>
      <c r="C29" s="103" t="s">
        <v>565</v>
      </c>
      <c r="D29" s="104">
        <v>46.753246753246749</v>
      </c>
      <c r="E29" s="105"/>
      <c r="F29" s="105"/>
      <c r="G29" s="105"/>
      <c r="H29" s="105"/>
      <c r="I29" s="105"/>
    </row>
    <row r="30" spans="1:9" ht="24.95" customHeight="1" x14ac:dyDescent="0.25">
      <c r="A30" s="101">
        <v>24</v>
      </c>
      <c r="B30" s="102" t="s">
        <v>602</v>
      </c>
      <c r="C30" s="103" t="s">
        <v>603</v>
      </c>
      <c r="D30" s="104">
        <v>0</v>
      </c>
      <c r="E30" s="105"/>
      <c r="F30" s="105"/>
      <c r="G30" s="105"/>
      <c r="H30" s="105"/>
      <c r="I30" s="105"/>
    </row>
    <row r="31" spans="1:9" ht="24.95" customHeight="1" x14ac:dyDescent="0.25">
      <c r="A31" s="101">
        <v>25</v>
      </c>
      <c r="B31" s="102" t="s">
        <v>552</v>
      </c>
      <c r="C31" s="103" t="s">
        <v>553</v>
      </c>
      <c r="D31" s="104">
        <v>52.597402597402599</v>
      </c>
      <c r="E31" s="105"/>
      <c r="F31" s="105"/>
      <c r="G31" s="105"/>
      <c r="H31" s="105"/>
      <c r="I31" s="105"/>
    </row>
    <row r="32" spans="1:9" ht="24.95" customHeight="1" x14ac:dyDescent="0.25">
      <c r="A32" s="101">
        <v>26</v>
      </c>
      <c r="B32" s="102" t="s">
        <v>592</v>
      </c>
      <c r="C32" s="103" t="s">
        <v>593</v>
      </c>
      <c r="D32" s="104">
        <v>15.178571428571427</v>
      </c>
      <c r="E32" s="105"/>
      <c r="F32" s="105"/>
      <c r="G32" s="105"/>
      <c r="H32" s="105"/>
      <c r="I32" s="105"/>
    </row>
    <row r="33" spans="1:9" ht="24.95" customHeight="1" x14ac:dyDescent="0.25">
      <c r="A33" s="101">
        <v>27</v>
      </c>
      <c r="B33" s="102" t="s">
        <v>594</v>
      </c>
      <c r="C33" s="103" t="s">
        <v>595</v>
      </c>
      <c r="D33" s="104">
        <v>9.7402597402597415</v>
      </c>
      <c r="E33" s="105"/>
      <c r="F33" s="105"/>
      <c r="G33" s="105"/>
      <c r="H33" s="105"/>
      <c r="I33" s="105"/>
    </row>
    <row r="34" spans="1:9" ht="24.95" customHeight="1" x14ac:dyDescent="0.25">
      <c r="A34" s="101">
        <v>28</v>
      </c>
      <c r="B34" s="102" t="s">
        <v>598</v>
      </c>
      <c r="C34" s="103" t="s">
        <v>599</v>
      </c>
      <c r="D34" s="104">
        <v>8.4415584415584419</v>
      </c>
      <c r="E34" s="105"/>
      <c r="F34" s="105"/>
      <c r="G34" s="105"/>
      <c r="H34" s="105"/>
      <c r="I34" s="105"/>
    </row>
    <row r="35" spans="1:9" ht="24.95" customHeight="1" x14ac:dyDescent="0.25">
      <c r="A35" s="101">
        <v>29</v>
      </c>
      <c r="B35" s="102" t="s">
        <v>582</v>
      </c>
      <c r="C35" s="103" t="s">
        <v>583</v>
      </c>
      <c r="D35" s="104">
        <v>32.558139534883722</v>
      </c>
      <c r="E35" s="105"/>
      <c r="F35" s="105"/>
      <c r="G35" s="105"/>
      <c r="H35" s="105"/>
      <c r="I35" s="105"/>
    </row>
    <row r="36" spans="1:9" ht="24.95" customHeight="1" x14ac:dyDescent="0.25">
      <c r="A36" s="101">
        <v>30</v>
      </c>
      <c r="B36" s="102" t="s">
        <v>570</v>
      </c>
      <c r="C36" s="103" t="s">
        <v>571</v>
      </c>
      <c r="D36" s="104">
        <v>40.259740259740262</v>
      </c>
      <c r="E36" s="105"/>
      <c r="F36" s="105"/>
      <c r="G36" s="105"/>
      <c r="H36" s="105"/>
      <c r="I36" s="105"/>
    </row>
    <row r="37" spans="1:9" ht="24.95" customHeight="1" x14ac:dyDescent="0.25">
      <c r="A37" s="101">
        <v>31</v>
      </c>
      <c r="B37" s="102" t="s">
        <v>540</v>
      </c>
      <c r="C37" s="103" t="s">
        <v>541</v>
      </c>
      <c r="D37" s="104">
        <v>56.493506493506494</v>
      </c>
      <c r="E37" s="105"/>
      <c r="F37" s="105"/>
      <c r="G37" s="105"/>
      <c r="H37" s="105"/>
      <c r="I37" s="105"/>
    </row>
    <row r="38" spans="1:9" ht="24.95" customHeight="1" x14ac:dyDescent="0.25">
      <c r="A38" s="101">
        <v>32</v>
      </c>
      <c r="B38" s="102" t="s">
        <v>556</v>
      </c>
      <c r="C38" s="103" t="s">
        <v>557</v>
      </c>
      <c r="D38" s="104">
        <v>51.298701298701296</v>
      </c>
      <c r="E38" s="105"/>
      <c r="F38" s="105"/>
      <c r="G38" s="105"/>
      <c r="H38" s="105"/>
      <c r="I38" s="105"/>
    </row>
    <row r="39" spans="1:9" ht="24.95" customHeight="1" x14ac:dyDescent="0.25">
      <c r="A39" s="101">
        <v>33</v>
      </c>
      <c r="B39" s="102" t="s">
        <v>586</v>
      </c>
      <c r="C39" s="103" t="s">
        <v>587</v>
      </c>
      <c r="D39" s="104">
        <v>20.930232558139537</v>
      </c>
      <c r="E39" s="105"/>
      <c r="F39" s="105"/>
      <c r="G39" s="105"/>
      <c r="H39" s="105"/>
      <c r="I39" s="105"/>
    </row>
    <row r="40" spans="1:9" ht="15.75" customHeight="1" x14ac:dyDescent="0.25">
      <c r="B40" s="98"/>
      <c r="C40" s="98"/>
      <c r="D40" s="98"/>
    </row>
    <row r="41" spans="1:9" ht="15.75" customHeight="1" x14ac:dyDescent="0.25">
      <c r="B41" s="98"/>
      <c r="C41" s="98"/>
      <c r="D41" s="98"/>
    </row>
    <row r="42" spans="1:9" ht="15.75" customHeight="1" x14ac:dyDescent="0.25">
      <c r="B42" s="98"/>
      <c r="C42" s="98"/>
      <c r="D42" s="98"/>
    </row>
    <row r="43" spans="1:9" ht="15.75" customHeight="1" x14ac:dyDescent="0.25">
      <c r="B43" s="98"/>
      <c r="C43" s="98"/>
      <c r="D43" s="98"/>
    </row>
    <row r="44" spans="1:9" ht="15.75" customHeight="1" x14ac:dyDescent="0.25">
      <c r="B44" s="98"/>
      <c r="C44" s="98"/>
      <c r="D44" s="98"/>
    </row>
    <row r="45" spans="1:9" ht="15.75" customHeight="1" x14ac:dyDescent="0.25">
      <c r="B45" s="98"/>
      <c r="C45" s="98"/>
      <c r="D45" s="98"/>
    </row>
    <row r="46" spans="1:9" ht="15.75" customHeight="1" x14ac:dyDescent="0.25">
      <c r="B46" s="98"/>
      <c r="C46" s="98"/>
      <c r="D46" s="98"/>
    </row>
    <row r="47" spans="1:9" ht="15.75" customHeight="1" x14ac:dyDescent="0.25">
      <c r="B47" s="98"/>
      <c r="C47" s="98"/>
      <c r="D47" s="98"/>
    </row>
    <row r="48" spans="1:9" ht="15.75" customHeight="1" x14ac:dyDescent="0.25">
      <c r="B48" s="98"/>
      <c r="C48" s="98"/>
      <c r="D48" s="98"/>
    </row>
    <row r="49" spans="2:4" ht="15.75" customHeight="1" x14ac:dyDescent="0.25">
      <c r="B49" s="98"/>
      <c r="C49" s="98"/>
      <c r="D49" s="98"/>
    </row>
    <row r="50" spans="2:4" ht="15.75" customHeight="1" x14ac:dyDescent="0.25">
      <c r="B50" s="98"/>
      <c r="C50" s="98"/>
      <c r="D50" s="98"/>
    </row>
    <row r="51" spans="2:4" ht="15.75" customHeight="1" x14ac:dyDescent="0.25">
      <c r="B51" s="98"/>
      <c r="C51" s="98"/>
      <c r="D51" s="98"/>
    </row>
    <row r="52" spans="2:4" ht="15.75" customHeight="1" x14ac:dyDescent="0.25">
      <c r="B52" s="98"/>
      <c r="C52" s="98"/>
      <c r="D52" s="98"/>
    </row>
    <row r="53" spans="2:4" ht="15.75" customHeight="1" x14ac:dyDescent="0.25">
      <c r="B53" s="98"/>
      <c r="C53" s="98"/>
      <c r="D53" s="98"/>
    </row>
    <row r="54" spans="2:4" ht="15.75" customHeight="1" x14ac:dyDescent="0.25">
      <c r="B54" s="98"/>
      <c r="C54" s="98"/>
      <c r="D54" s="98"/>
    </row>
    <row r="55" spans="2:4" ht="15.75" customHeight="1" x14ac:dyDescent="0.25">
      <c r="B55" s="98"/>
      <c r="C55" s="98"/>
      <c r="D55" s="98"/>
    </row>
    <row r="56" spans="2:4" ht="15.75" customHeight="1" x14ac:dyDescent="0.25">
      <c r="B56" s="98"/>
      <c r="C56" s="98"/>
      <c r="D56" s="98"/>
    </row>
    <row r="57" spans="2:4" ht="15.75" customHeight="1" x14ac:dyDescent="0.25">
      <c r="B57" s="98"/>
      <c r="C57" s="98"/>
      <c r="D57" s="98"/>
    </row>
    <row r="58" spans="2:4" ht="15.75" customHeight="1" x14ac:dyDescent="0.25">
      <c r="B58" s="98"/>
      <c r="C58" s="98"/>
      <c r="D58" s="98"/>
    </row>
    <row r="59" spans="2:4" ht="15.75" customHeight="1" x14ac:dyDescent="0.25">
      <c r="B59" s="98"/>
      <c r="C59" s="98"/>
      <c r="D59" s="98"/>
    </row>
    <row r="60" spans="2:4" ht="15.75" customHeight="1" x14ac:dyDescent="0.25">
      <c r="B60" s="98"/>
      <c r="C60" s="98"/>
      <c r="D60" s="98"/>
    </row>
    <row r="61" spans="2:4" ht="15.75" customHeight="1" x14ac:dyDescent="0.25">
      <c r="B61" s="98"/>
      <c r="C61" s="98"/>
      <c r="D61" s="98"/>
    </row>
    <row r="62" spans="2:4" ht="15.75" customHeight="1" x14ac:dyDescent="0.25">
      <c r="B62" s="98"/>
      <c r="C62" s="98"/>
      <c r="D62" s="98"/>
    </row>
    <row r="63" spans="2:4" ht="15.75" customHeight="1" x14ac:dyDescent="0.25">
      <c r="B63" s="98"/>
      <c r="C63" s="98"/>
      <c r="D63" s="98"/>
    </row>
    <row r="64" spans="2:4" ht="15.75" customHeight="1" x14ac:dyDescent="0.25">
      <c r="B64" s="98"/>
      <c r="C64" s="98"/>
      <c r="D64" s="98"/>
    </row>
    <row r="65" spans="2:4" ht="15.75" customHeight="1" x14ac:dyDescent="0.25">
      <c r="B65" s="98"/>
      <c r="C65" s="98"/>
      <c r="D65" s="98"/>
    </row>
    <row r="66" spans="2:4" ht="15.75" customHeight="1" x14ac:dyDescent="0.25">
      <c r="B66" s="98"/>
      <c r="C66" s="98"/>
      <c r="D66" s="98"/>
    </row>
    <row r="67" spans="2:4" ht="15.75" customHeight="1" x14ac:dyDescent="0.25">
      <c r="B67" s="98"/>
      <c r="C67" s="98"/>
      <c r="D67" s="98"/>
    </row>
    <row r="68" spans="2:4" ht="15.75" customHeight="1" x14ac:dyDescent="0.25">
      <c r="B68" s="98"/>
      <c r="C68" s="98"/>
      <c r="D68" s="98"/>
    </row>
    <row r="69" spans="2:4" ht="15.75" customHeight="1" x14ac:dyDescent="0.25">
      <c r="B69" s="98"/>
      <c r="C69" s="98"/>
      <c r="D69" s="98"/>
    </row>
    <row r="70" spans="2:4" ht="15.75" customHeight="1" x14ac:dyDescent="0.25">
      <c r="B70" s="98"/>
      <c r="C70" s="98"/>
      <c r="D70" s="98"/>
    </row>
    <row r="71" spans="2:4" ht="15.75" customHeight="1" x14ac:dyDescent="0.25">
      <c r="B71" s="98"/>
      <c r="C71" s="98"/>
      <c r="D71" s="98"/>
    </row>
    <row r="72" spans="2:4" ht="15.75" customHeight="1" x14ac:dyDescent="0.25">
      <c r="B72" s="98"/>
      <c r="C72" s="98"/>
      <c r="D72" s="98"/>
    </row>
    <row r="73" spans="2:4" ht="15.75" customHeight="1" x14ac:dyDescent="0.25">
      <c r="B73" s="98"/>
      <c r="C73" s="98"/>
      <c r="D73" s="98"/>
    </row>
    <row r="74" spans="2:4" ht="15.75" customHeight="1" x14ac:dyDescent="0.25">
      <c r="B74" s="98"/>
      <c r="C74" s="98"/>
      <c r="D74" s="98"/>
    </row>
    <row r="75" spans="2:4" ht="15.75" customHeight="1" x14ac:dyDescent="0.25">
      <c r="B75" s="98"/>
      <c r="C75" s="98"/>
      <c r="D75" s="98"/>
    </row>
    <row r="76" spans="2:4" ht="15.75" customHeight="1" x14ac:dyDescent="0.25">
      <c r="B76" s="98"/>
      <c r="C76" s="98"/>
      <c r="D76" s="98"/>
    </row>
    <row r="77" spans="2:4" ht="15.75" customHeight="1" x14ac:dyDescent="0.25">
      <c r="B77" s="98"/>
      <c r="C77" s="98"/>
      <c r="D77" s="98"/>
    </row>
    <row r="78" spans="2:4" ht="15.75" customHeight="1" x14ac:dyDescent="0.25">
      <c r="B78" s="98"/>
      <c r="C78" s="98"/>
      <c r="D78" s="98"/>
    </row>
    <row r="79" spans="2:4" ht="15.75" customHeight="1" x14ac:dyDescent="0.25">
      <c r="B79" s="98"/>
      <c r="C79" s="98"/>
      <c r="D79" s="98"/>
    </row>
    <row r="80" spans="2:4" ht="15.75" customHeight="1" x14ac:dyDescent="0.25">
      <c r="B80" s="98"/>
      <c r="C80" s="98"/>
      <c r="D80" s="98"/>
    </row>
    <row r="81" spans="2:4" ht="15.75" customHeight="1" x14ac:dyDescent="0.25">
      <c r="B81" s="98"/>
      <c r="C81" s="98"/>
      <c r="D81" s="98"/>
    </row>
    <row r="82" spans="2:4" ht="15.75" customHeight="1" x14ac:dyDescent="0.25">
      <c r="B82" s="98"/>
      <c r="C82" s="98"/>
      <c r="D82" s="98"/>
    </row>
    <row r="83" spans="2:4" ht="15.75" customHeight="1" x14ac:dyDescent="0.25">
      <c r="B83" s="98"/>
      <c r="C83" s="98"/>
      <c r="D83" s="98"/>
    </row>
    <row r="84" spans="2:4" ht="15.75" customHeight="1" x14ac:dyDescent="0.25">
      <c r="B84" s="98"/>
      <c r="C84" s="98"/>
      <c r="D84" s="98"/>
    </row>
    <row r="85" spans="2:4" ht="15.75" customHeight="1" x14ac:dyDescent="0.25">
      <c r="B85" s="98"/>
      <c r="C85" s="98"/>
      <c r="D85" s="98"/>
    </row>
    <row r="86" spans="2:4" ht="15.75" customHeight="1" x14ac:dyDescent="0.25">
      <c r="B86" s="98"/>
      <c r="C86" s="98"/>
      <c r="D86" s="98"/>
    </row>
    <row r="87" spans="2:4" ht="15.75" customHeight="1" x14ac:dyDescent="0.25">
      <c r="B87" s="98"/>
      <c r="C87" s="98"/>
      <c r="D87" s="98"/>
    </row>
    <row r="88" spans="2:4" ht="15.75" customHeight="1" x14ac:dyDescent="0.25">
      <c r="B88" s="98"/>
      <c r="C88" s="98"/>
      <c r="D88" s="98"/>
    </row>
    <row r="89" spans="2:4" ht="15.75" customHeight="1" x14ac:dyDescent="0.25">
      <c r="B89" s="98"/>
      <c r="C89" s="98"/>
      <c r="D89" s="98"/>
    </row>
    <row r="90" spans="2:4" ht="15.75" customHeight="1" x14ac:dyDescent="0.25">
      <c r="B90" s="98"/>
      <c r="C90" s="98"/>
      <c r="D90" s="98"/>
    </row>
    <row r="91" spans="2:4" ht="15.75" customHeight="1" x14ac:dyDescent="0.25">
      <c r="B91" s="98"/>
      <c r="C91" s="98"/>
      <c r="D91" s="98"/>
    </row>
    <row r="92" spans="2:4" ht="15.75" customHeight="1" x14ac:dyDescent="0.25"/>
    <row r="93" spans="2:4" ht="15.75" customHeight="1" x14ac:dyDescent="0.25"/>
    <row r="94" spans="2:4" ht="15.75" customHeight="1" x14ac:dyDescent="0.25"/>
    <row r="95" spans="2:4" ht="15.75" customHeight="1" x14ac:dyDescent="0.25"/>
    <row r="96" spans="2:4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</sheetData>
  <autoFilter ref="A5:I6" xr:uid="{00000000-0001-0000-0100-000000000000}">
    <sortState xmlns:xlrd2="http://schemas.microsoft.com/office/spreadsheetml/2017/richdata2" ref="A8:I152">
      <sortCondition ref="B5:B6"/>
    </sortState>
  </autoFilter>
  <mergeCells count="11">
    <mergeCell ref="A1:J1"/>
    <mergeCell ref="A2:J2"/>
    <mergeCell ref="A3:J3"/>
    <mergeCell ref="A4:J4"/>
    <mergeCell ref="A5:A6"/>
    <mergeCell ref="K5:K6"/>
    <mergeCell ref="L5:L6"/>
    <mergeCell ref="B5:B6"/>
    <mergeCell ref="C5:C6"/>
    <mergeCell ref="D5:D6"/>
    <mergeCell ref="I5:I6"/>
  </mergeCells>
  <printOptions horizontalCentered="1"/>
  <pageMargins left="0.25" right="0.25" top="0.31" bottom="0.36" header="0.3" footer="0.3"/>
  <pageSetup paperSize="9" scale="76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968"/>
  <sheetViews>
    <sheetView topLeftCell="A6" zoomScale="90" zoomScaleNormal="90" workbookViewId="0">
      <selection activeCell="H13" sqref="H13"/>
    </sheetView>
  </sheetViews>
  <sheetFormatPr defaultColWidth="12.5703125" defaultRowHeight="15" customHeight="1" x14ac:dyDescent="0.2"/>
  <cols>
    <col min="1" max="1" width="7.5703125" style="42" customWidth="1"/>
    <col min="2" max="2" width="18.140625" style="42" customWidth="1"/>
    <col min="3" max="3" width="25.140625" style="42" customWidth="1"/>
    <col min="4" max="4" width="11.7109375" style="42" hidden="1" customWidth="1"/>
    <col min="5" max="7" width="12.85546875" style="42" customWidth="1"/>
    <col min="8" max="8" width="14.5703125" style="42" customWidth="1"/>
    <col min="9" max="9" width="14.28515625" style="42" customWidth="1"/>
    <col min="10" max="10" width="15.85546875" style="42" customWidth="1"/>
    <col min="11" max="13" width="17.85546875" style="42" customWidth="1"/>
    <col min="14" max="27" width="7.5703125" style="42" customWidth="1"/>
    <col min="28" max="16384" width="12.5703125" style="42"/>
  </cols>
  <sheetData>
    <row r="1" spans="1:27" ht="24.75" customHeight="1" x14ac:dyDescent="0.2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3"/>
    </row>
    <row r="2" spans="1:27" ht="24.75" customHeight="1" x14ac:dyDescent="0.2">
      <c r="A2" s="191" t="s">
        <v>1</v>
      </c>
      <c r="B2" s="192"/>
      <c r="C2" s="192"/>
      <c r="D2" s="192"/>
      <c r="E2" s="192"/>
      <c r="F2" s="192"/>
      <c r="G2" s="192"/>
      <c r="H2" s="192"/>
      <c r="I2" s="192"/>
      <c r="J2" s="193"/>
    </row>
    <row r="3" spans="1:27" ht="24.75" customHeight="1" x14ac:dyDescent="0.2">
      <c r="A3" s="191" t="s">
        <v>66</v>
      </c>
      <c r="B3" s="192"/>
      <c r="C3" s="192"/>
      <c r="D3" s="192"/>
      <c r="E3" s="192"/>
      <c r="F3" s="192"/>
      <c r="G3" s="192"/>
      <c r="H3" s="192"/>
      <c r="I3" s="192"/>
      <c r="J3" s="193"/>
    </row>
    <row r="4" spans="1:27" ht="24.75" customHeight="1" x14ac:dyDescent="0.2">
      <c r="A4" s="194" t="s">
        <v>60</v>
      </c>
      <c r="B4" s="195"/>
      <c r="C4" s="195"/>
      <c r="D4" s="195"/>
      <c r="E4" s="195"/>
      <c r="F4" s="195"/>
      <c r="G4" s="195"/>
      <c r="H4" s="195"/>
      <c r="I4" s="195"/>
      <c r="J4" s="196"/>
    </row>
    <row r="5" spans="1:27" ht="30" customHeight="1" x14ac:dyDescent="0.2">
      <c r="A5" s="183" t="s">
        <v>2</v>
      </c>
      <c r="B5" s="183" t="s">
        <v>3</v>
      </c>
      <c r="C5" s="183" t="s">
        <v>4</v>
      </c>
      <c r="D5" s="183" t="s">
        <v>5</v>
      </c>
      <c r="E5" s="64">
        <v>46118</v>
      </c>
      <c r="F5" s="64">
        <v>46118</v>
      </c>
      <c r="G5" s="64">
        <v>46119</v>
      </c>
      <c r="H5" s="64">
        <v>46119</v>
      </c>
      <c r="I5" s="64">
        <v>46120</v>
      </c>
      <c r="J5" s="64">
        <v>46120</v>
      </c>
      <c r="K5" s="190" t="s">
        <v>6</v>
      </c>
      <c r="L5" s="187" t="s">
        <v>7</v>
      </c>
      <c r="M5" s="189" t="s">
        <v>8</v>
      </c>
    </row>
    <row r="6" spans="1:27" ht="50.25" customHeight="1" x14ac:dyDescent="0.2">
      <c r="A6" s="188"/>
      <c r="B6" s="188"/>
      <c r="C6" s="188"/>
      <c r="D6" s="188"/>
      <c r="E6" s="65" t="s">
        <v>61</v>
      </c>
      <c r="F6" s="66" t="s">
        <v>62</v>
      </c>
      <c r="G6" s="66" t="s">
        <v>63</v>
      </c>
      <c r="H6" s="66" t="s">
        <v>64</v>
      </c>
      <c r="I6" s="66" t="s">
        <v>65</v>
      </c>
      <c r="J6" s="66" t="s">
        <v>71</v>
      </c>
      <c r="K6" s="188"/>
      <c r="L6" s="188"/>
      <c r="M6" s="188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</row>
    <row r="7" spans="1:27" ht="33" customHeight="1" x14ac:dyDescent="0.25">
      <c r="A7" s="43">
        <v>1</v>
      </c>
      <c r="B7" s="62" t="s">
        <v>80</v>
      </c>
      <c r="C7" s="63" t="s">
        <v>81</v>
      </c>
      <c r="D7" s="53">
        <v>65.161290322580641</v>
      </c>
      <c r="E7" s="121">
        <v>16</v>
      </c>
      <c r="F7" s="55">
        <v>11</v>
      </c>
      <c r="G7" s="55">
        <v>16</v>
      </c>
      <c r="H7" s="55">
        <v>19</v>
      </c>
      <c r="I7" s="55"/>
      <c r="J7" s="55"/>
      <c r="K7" s="55">
        <f>SUM(E7:H7)</f>
        <v>62</v>
      </c>
      <c r="L7" s="50">
        <f>K7/80*100</f>
        <v>77.5</v>
      </c>
      <c r="M7" s="127" t="str">
        <f>IF(COUNTIF(E7:H7,"A")&gt;0,"A",IF(MIN(E7:H7)&gt;=7,"PASS","FAIL"))</f>
        <v>PASS</v>
      </c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</row>
    <row r="8" spans="1:27" ht="33" customHeight="1" x14ac:dyDescent="0.25">
      <c r="A8" s="43">
        <v>2</v>
      </c>
      <c r="B8" s="62" t="s">
        <v>88</v>
      </c>
      <c r="C8" s="63" t="s">
        <v>16</v>
      </c>
      <c r="D8" s="53">
        <v>61.935483870967744</v>
      </c>
      <c r="E8" s="121">
        <v>11</v>
      </c>
      <c r="F8" s="55">
        <v>11</v>
      </c>
      <c r="G8" s="55">
        <v>14</v>
      </c>
      <c r="H8" s="55">
        <v>18</v>
      </c>
      <c r="I8" s="55"/>
      <c r="J8" s="55"/>
      <c r="K8" s="55">
        <f t="shared" ref="K8:K18" si="0">SUM(E8:H8)</f>
        <v>54</v>
      </c>
      <c r="L8" s="50">
        <f t="shared" ref="L8:L18" si="1">K8/80*100</f>
        <v>67.5</v>
      </c>
      <c r="M8" s="127" t="str">
        <f t="shared" ref="M8:M18" si="2">IF(COUNTIF(E8:H8,"A")&gt;0,"A",IF(MIN(E8:H8)&gt;=7,"PASS","FAIL"))</f>
        <v>PASS</v>
      </c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</row>
    <row r="9" spans="1:27" ht="33" customHeight="1" x14ac:dyDescent="0.25">
      <c r="A9" s="43">
        <v>3</v>
      </c>
      <c r="B9" s="62" t="s">
        <v>84</v>
      </c>
      <c r="C9" s="63" t="s">
        <v>85</v>
      </c>
      <c r="D9" s="53">
        <v>64.035087719298247</v>
      </c>
      <c r="E9" s="121">
        <v>17</v>
      </c>
      <c r="F9" s="55">
        <v>14</v>
      </c>
      <c r="G9" s="55">
        <v>14</v>
      </c>
      <c r="H9" s="55">
        <v>14</v>
      </c>
      <c r="I9" s="55"/>
      <c r="J9" s="55"/>
      <c r="K9" s="55">
        <f t="shared" si="0"/>
        <v>59</v>
      </c>
      <c r="L9" s="50">
        <f t="shared" si="1"/>
        <v>73.75</v>
      </c>
      <c r="M9" s="127" t="str">
        <f t="shared" si="2"/>
        <v>PASS</v>
      </c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</row>
    <row r="10" spans="1:27" ht="33" customHeight="1" x14ac:dyDescent="0.25">
      <c r="A10" s="43">
        <v>4</v>
      </c>
      <c r="B10" s="62" t="s">
        <v>76</v>
      </c>
      <c r="C10" s="63" t="s">
        <v>77</v>
      </c>
      <c r="D10" s="53">
        <v>69.298245614035096</v>
      </c>
      <c r="E10" s="121">
        <v>18</v>
      </c>
      <c r="F10" s="55">
        <v>14</v>
      </c>
      <c r="G10" s="55">
        <v>8</v>
      </c>
      <c r="H10" s="55">
        <v>19</v>
      </c>
      <c r="I10" s="55"/>
      <c r="J10" s="55"/>
      <c r="K10" s="55">
        <f t="shared" si="0"/>
        <v>59</v>
      </c>
      <c r="L10" s="50">
        <f t="shared" si="1"/>
        <v>73.75</v>
      </c>
      <c r="M10" s="127" t="str">
        <f t="shared" si="2"/>
        <v>PASS</v>
      </c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</row>
    <row r="11" spans="1:27" ht="33" customHeight="1" x14ac:dyDescent="0.25">
      <c r="A11" s="43">
        <v>5</v>
      </c>
      <c r="B11" s="62" t="s">
        <v>72</v>
      </c>
      <c r="C11" s="63" t="s">
        <v>73</v>
      </c>
      <c r="D11" s="53">
        <v>90.178571428571431</v>
      </c>
      <c r="E11" s="121">
        <v>16</v>
      </c>
      <c r="F11" s="55">
        <v>12</v>
      </c>
      <c r="G11" s="55">
        <v>16</v>
      </c>
      <c r="H11" s="55">
        <v>17</v>
      </c>
      <c r="I11" s="55"/>
      <c r="J11" s="55"/>
      <c r="K11" s="55">
        <f t="shared" si="0"/>
        <v>61</v>
      </c>
      <c r="L11" s="50">
        <f t="shared" si="1"/>
        <v>76.25</v>
      </c>
      <c r="M11" s="127" t="str">
        <f t="shared" si="2"/>
        <v>PASS</v>
      </c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</row>
    <row r="12" spans="1:27" ht="33" customHeight="1" x14ac:dyDescent="0.25">
      <c r="A12" s="43">
        <v>6</v>
      </c>
      <c r="B12" s="62" t="s">
        <v>78</v>
      </c>
      <c r="C12" s="63" t="s">
        <v>79</v>
      </c>
      <c r="D12" s="53">
        <v>66.233766233766232</v>
      </c>
      <c r="E12" s="121">
        <v>15</v>
      </c>
      <c r="F12" s="55">
        <v>14</v>
      </c>
      <c r="G12" s="55">
        <v>10</v>
      </c>
      <c r="H12" s="55">
        <v>16</v>
      </c>
      <c r="I12" s="55"/>
      <c r="J12" s="55"/>
      <c r="K12" s="55">
        <f t="shared" si="0"/>
        <v>55</v>
      </c>
      <c r="L12" s="50">
        <f t="shared" si="1"/>
        <v>68.75</v>
      </c>
      <c r="M12" s="127" t="str">
        <f t="shared" si="2"/>
        <v>PASS</v>
      </c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</row>
    <row r="13" spans="1:27" ht="33" customHeight="1" x14ac:dyDescent="0.25">
      <c r="A13" s="43">
        <v>7</v>
      </c>
      <c r="B13" s="62" t="s">
        <v>87</v>
      </c>
      <c r="C13" s="63" t="s">
        <v>17</v>
      </c>
      <c r="D13" s="53">
        <v>62.987012987012989</v>
      </c>
      <c r="E13" s="121">
        <v>16</v>
      </c>
      <c r="F13" s="55">
        <v>15</v>
      </c>
      <c r="G13" s="55">
        <v>11</v>
      </c>
      <c r="H13" s="55">
        <v>14</v>
      </c>
      <c r="I13" s="55"/>
      <c r="J13" s="55"/>
      <c r="K13" s="55">
        <f t="shared" si="0"/>
        <v>56</v>
      </c>
      <c r="L13" s="50">
        <f t="shared" si="1"/>
        <v>70</v>
      </c>
      <c r="M13" s="127" t="str">
        <f t="shared" si="2"/>
        <v>PASS</v>
      </c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</row>
    <row r="14" spans="1:27" ht="33" customHeight="1" x14ac:dyDescent="0.25">
      <c r="A14" s="43">
        <v>8</v>
      </c>
      <c r="B14" s="62" t="s">
        <v>89</v>
      </c>
      <c r="C14" s="63" t="s">
        <v>90</v>
      </c>
      <c r="D14" s="53">
        <v>61.688311688311693</v>
      </c>
      <c r="E14" s="121">
        <v>19</v>
      </c>
      <c r="F14" s="55">
        <v>15</v>
      </c>
      <c r="G14" s="55">
        <v>12</v>
      </c>
      <c r="H14" s="55">
        <v>17</v>
      </c>
      <c r="I14" s="55"/>
      <c r="J14" s="55"/>
      <c r="K14" s="55">
        <f t="shared" si="0"/>
        <v>63</v>
      </c>
      <c r="L14" s="50">
        <f t="shared" si="1"/>
        <v>78.75</v>
      </c>
      <c r="M14" s="127" t="str">
        <f t="shared" si="2"/>
        <v>PASS</v>
      </c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</row>
    <row r="15" spans="1:27" ht="33" customHeight="1" x14ac:dyDescent="0.25">
      <c r="A15" s="43">
        <v>9</v>
      </c>
      <c r="B15" s="62" t="s">
        <v>86</v>
      </c>
      <c r="C15" s="63" t="s">
        <v>18</v>
      </c>
      <c r="D15" s="53">
        <v>63.636363636363633</v>
      </c>
      <c r="E15" s="121">
        <v>12</v>
      </c>
      <c r="F15" s="55">
        <v>16</v>
      </c>
      <c r="G15" s="55">
        <v>10</v>
      </c>
      <c r="H15" s="55">
        <v>18</v>
      </c>
      <c r="I15" s="55"/>
      <c r="J15" s="55"/>
      <c r="K15" s="55">
        <f t="shared" si="0"/>
        <v>56</v>
      </c>
      <c r="L15" s="50">
        <f t="shared" si="1"/>
        <v>70</v>
      </c>
      <c r="M15" s="127" t="str">
        <f t="shared" si="2"/>
        <v>PASS</v>
      </c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ht="33" customHeight="1" x14ac:dyDescent="0.25">
      <c r="A16" s="43">
        <v>10</v>
      </c>
      <c r="B16" s="62" t="s">
        <v>82</v>
      </c>
      <c r="C16" s="63" t="s">
        <v>83</v>
      </c>
      <c r="D16" s="53">
        <v>65.116279069767444</v>
      </c>
      <c r="E16" s="121">
        <v>19</v>
      </c>
      <c r="F16" s="55">
        <v>19</v>
      </c>
      <c r="G16" s="55">
        <v>13</v>
      </c>
      <c r="H16" s="55">
        <v>18</v>
      </c>
      <c r="I16" s="55"/>
      <c r="J16" s="55"/>
      <c r="K16" s="55">
        <f t="shared" si="0"/>
        <v>69</v>
      </c>
      <c r="L16" s="50">
        <f t="shared" si="1"/>
        <v>86.25</v>
      </c>
      <c r="M16" s="127" t="str">
        <f t="shared" si="2"/>
        <v>PASS</v>
      </c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</row>
    <row r="17" spans="1:27" ht="33" customHeight="1" x14ac:dyDescent="0.25">
      <c r="A17" s="43">
        <v>11</v>
      </c>
      <c r="B17" s="62" t="s">
        <v>74</v>
      </c>
      <c r="C17" s="63" t="s">
        <v>75</v>
      </c>
      <c r="D17" s="53">
        <v>78.294573643410843</v>
      </c>
      <c r="E17" s="121">
        <v>18</v>
      </c>
      <c r="F17" s="55">
        <v>10</v>
      </c>
      <c r="G17" s="122">
        <v>8</v>
      </c>
      <c r="H17" s="55">
        <v>17</v>
      </c>
      <c r="I17" s="55"/>
      <c r="J17" s="55"/>
      <c r="K17" s="55">
        <f t="shared" si="0"/>
        <v>53</v>
      </c>
      <c r="L17" s="50">
        <f t="shared" si="1"/>
        <v>66.25</v>
      </c>
      <c r="M17" s="127" t="str">
        <f t="shared" si="2"/>
        <v>PASS</v>
      </c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</row>
    <row r="18" spans="1:27" ht="33" customHeight="1" x14ac:dyDescent="0.25">
      <c r="A18" s="43">
        <v>12</v>
      </c>
      <c r="B18" s="62" t="s">
        <v>91</v>
      </c>
      <c r="C18" s="63" t="s">
        <v>92</v>
      </c>
      <c r="D18" s="53">
        <v>59.731543624161077</v>
      </c>
      <c r="E18" s="121">
        <v>13</v>
      </c>
      <c r="F18" s="55">
        <v>11</v>
      </c>
      <c r="G18" s="125">
        <v>9</v>
      </c>
      <c r="H18" s="122">
        <v>15</v>
      </c>
      <c r="I18" s="55"/>
      <c r="J18" s="55"/>
      <c r="K18" s="55">
        <f t="shared" si="0"/>
        <v>48</v>
      </c>
      <c r="L18" s="50">
        <f t="shared" si="1"/>
        <v>60</v>
      </c>
      <c r="M18" s="127" t="str">
        <f t="shared" si="2"/>
        <v>PASS</v>
      </c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</row>
    <row r="19" spans="1:27" ht="26.25" customHeight="1" x14ac:dyDescent="0.2">
      <c r="A19" s="43">
        <v>13</v>
      </c>
      <c r="B19" s="62" t="s">
        <v>613</v>
      </c>
      <c r="C19" s="63" t="s">
        <v>614</v>
      </c>
      <c r="D19" s="53"/>
      <c r="E19" s="121"/>
      <c r="F19" s="55">
        <v>4</v>
      </c>
      <c r="G19" s="126">
        <v>6</v>
      </c>
      <c r="H19" s="123">
        <v>10</v>
      </c>
      <c r="I19" s="57"/>
      <c r="L19" s="50"/>
      <c r="M19" s="127"/>
    </row>
    <row r="20" spans="1:27" ht="26.25" customHeight="1" x14ac:dyDescent="0.2">
      <c r="C20" s="54"/>
      <c r="D20" s="54"/>
      <c r="E20" s="54"/>
      <c r="F20" s="54"/>
      <c r="G20" s="54"/>
      <c r="H20" s="57"/>
      <c r="I20" s="57"/>
      <c r="J20" s="58" t="s">
        <v>10</v>
      </c>
      <c r="L20"/>
    </row>
    <row r="21" spans="1:27" ht="27" customHeight="1" x14ac:dyDescent="0.2">
      <c r="C21" s="59" t="s">
        <v>11</v>
      </c>
      <c r="D21" s="60"/>
      <c r="E21" s="58">
        <f>COUNTA(E7:E18)</f>
        <v>12</v>
      </c>
      <c r="F21" s="58">
        <f t="shared" ref="F21:H21" si="3">COUNTA(F7:F18)</f>
        <v>12</v>
      </c>
      <c r="G21" s="58">
        <f t="shared" si="3"/>
        <v>12</v>
      </c>
      <c r="H21" s="58">
        <f t="shared" si="3"/>
        <v>12</v>
      </c>
      <c r="I21" s="58"/>
      <c r="J21" s="58">
        <f>COUNTA(K7:K18)</f>
        <v>12</v>
      </c>
      <c r="L21"/>
    </row>
    <row r="22" spans="1:27" ht="27" customHeight="1" x14ac:dyDescent="0.2">
      <c r="C22" s="59" t="s">
        <v>12</v>
      </c>
      <c r="D22" s="60"/>
      <c r="E22" s="58">
        <f>COUNTIF(E7:E18,"A")</f>
        <v>0</v>
      </c>
      <c r="F22" s="58">
        <f t="shared" ref="F22:H22" si="4">COUNTIF(F7:F18,"A")</f>
        <v>0</v>
      </c>
      <c r="G22" s="58">
        <f t="shared" si="4"/>
        <v>0</v>
      </c>
      <c r="H22" s="58">
        <f t="shared" si="4"/>
        <v>0</v>
      </c>
      <c r="I22" s="58"/>
      <c r="J22" s="58">
        <f>COUNTIF(M7:M18,"A")</f>
        <v>0</v>
      </c>
      <c r="L22"/>
    </row>
    <row r="23" spans="1:27" ht="27" customHeight="1" x14ac:dyDescent="0.2">
      <c r="C23" s="59" t="s">
        <v>13</v>
      </c>
      <c r="D23" s="60"/>
      <c r="E23" s="58">
        <f>E21-E22</f>
        <v>12</v>
      </c>
      <c r="F23" s="58">
        <f>F21-F22</f>
        <v>12</v>
      </c>
      <c r="G23" s="58">
        <f>G21-G22</f>
        <v>12</v>
      </c>
      <c r="H23" s="58">
        <f>H21-H22</f>
        <v>12</v>
      </c>
      <c r="I23" s="58"/>
      <c r="J23" s="58">
        <f>J21-J22</f>
        <v>12</v>
      </c>
      <c r="L23"/>
    </row>
    <row r="24" spans="1:27" ht="27" customHeight="1" x14ac:dyDescent="0.2">
      <c r="C24" s="59" t="s">
        <v>14</v>
      </c>
      <c r="D24" s="60"/>
      <c r="E24" s="58">
        <f>COUNTIF(E7:E18, "&gt;=7")</f>
        <v>12</v>
      </c>
      <c r="F24" s="58">
        <f t="shared" ref="F24:H24" si="5">COUNTIF(F7:F18, "&gt;=7")</f>
        <v>12</v>
      </c>
      <c r="G24" s="58">
        <f t="shared" si="5"/>
        <v>12</v>
      </c>
      <c r="H24" s="58">
        <f t="shared" si="5"/>
        <v>12</v>
      </c>
      <c r="I24" s="58"/>
      <c r="J24" s="58">
        <f>COUNTIF(M7:M18, "PASS")</f>
        <v>12</v>
      </c>
      <c r="L24"/>
    </row>
    <row r="25" spans="1:27" ht="27" customHeight="1" x14ac:dyDescent="0.2">
      <c r="C25" s="59" t="s">
        <v>15</v>
      </c>
      <c r="D25" s="60"/>
      <c r="E25" s="61">
        <f>E24/E23</f>
        <v>1</v>
      </c>
      <c r="F25" s="61">
        <f>F24/F23</f>
        <v>1</v>
      </c>
      <c r="G25" s="61">
        <f>G24/G23</f>
        <v>1</v>
      </c>
      <c r="H25" s="61">
        <f>H24/H23</f>
        <v>1</v>
      </c>
      <c r="I25" s="61"/>
      <c r="J25" s="61">
        <f>J24/J23</f>
        <v>1</v>
      </c>
      <c r="L25"/>
    </row>
    <row r="26" spans="1:27" ht="15.75" customHeight="1" x14ac:dyDescent="0.2"/>
    <row r="27" spans="1:27" ht="15.75" customHeight="1" x14ac:dyDescent="0.2"/>
    <row r="28" spans="1:27" ht="15.75" customHeight="1" x14ac:dyDescent="0.2"/>
    <row r="29" spans="1:27" ht="15.75" customHeight="1" x14ac:dyDescent="0.2"/>
    <row r="30" spans="1:27" ht="15.75" customHeight="1" x14ac:dyDescent="0.2"/>
    <row r="31" spans="1:27" ht="15.75" customHeight="1" x14ac:dyDescent="0.2"/>
    <row r="32" spans="1:2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</sheetData>
  <autoFilter ref="A5:M6" xr:uid="{00000000-0001-0000-0200-000000000000}">
    <sortState xmlns:xlrd2="http://schemas.microsoft.com/office/spreadsheetml/2017/richdata2" ref="A8:M24">
      <sortCondition ref="B5:B6"/>
    </sortState>
  </autoFilter>
  <mergeCells count="11">
    <mergeCell ref="D5:D6"/>
    <mergeCell ref="K5:K6"/>
    <mergeCell ref="L5:L6"/>
    <mergeCell ref="M5:M6"/>
    <mergeCell ref="A1:J1"/>
    <mergeCell ref="A2:J2"/>
    <mergeCell ref="A3:J3"/>
    <mergeCell ref="A4:J4"/>
    <mergeCell ref="A5:A6"/>
    <mergeCell ref="B5:B6"/>
    <mergeCell ref="C5:C6"/>
  </mergeCells>
  <conditionalFormatting sqref="D7:D19">
    <cfRule type="cellIs" dxfId="4" priority="1" operator="lessThan">
      <formula>30</formula>
    </cfRule>
  </conditionalFormatting>
  <pageMargins left="0.49" right="0.39" top="0.74803149606299213" bottom="0.74803149606299213" header="0" footer="0"/>
  <pageSetup paperSize="9" scale="51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985"/>
  <sheetViews>
    <sheetView zoomScale="70" zoomScaleNormal="70" workbookViewId="0">
      <selection activeCell="G33" sqref="G33"/>
    </sheetView>
  </sheetViews>
  <sheetFormatPr defaultColWidth="12.5703125" defaultRowHeight="15" customHeight="1" x14ac:dyDescent="0.2"/>
  <cols>
    <col min="1" max="1" width="7.5703125" style="42" customWidth="1"/>
    <col min="2" max="2" width="21.85546875" style="42" customWidth="1"/>
    <col min="3" max="3" width="31.7109375" style="42" bestFit="1" customWidth="1"/>
    <col min="4" max="4" width="11.7109375" style="42" hidden="1" customWidth="1"/>
    <col min="5" max="7" width="12.85546875" style="42" customWidth="1"/>
    <col min="8" max="8" width="16.140625" style="42" customWidth="1"/>
    <col min="9" max="9" width="12.85546875" style="42" customWidth="1"/>
    <col min="10" max="12" width="17.7109375" style="42" customWidth="1"/>
    <col min="13" max="13" width="17.140625" style="42" customWidth="1"/>
    <col min="14" max="26" width="7.5703125" style="42" customWidth="1"/>
    <col min="27" max="16384" width="12.5703125" style="42"/>
  </cols>
  <sheetData>
    <row r="1" spans="1:26" ht="24.75" customHeight="1" thickBot="1" x14ac:dyDescent="0.25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3"/>
    </row>
    <row r="2" spans="1:26" ht="24.75" customHeight="1" thickBot="1" x14ac:dyDescent="0.25">
      <c r="A2" s="191" t="s">
        <v>1</v>
      </c>
      <c r="B2" s="192"/>
      <c r="C2" s="192"/>
      <c r="D2" s="192"/>
      <c r="E2" s="192"/>
      <c r="F2" s="192"/>
      <c r="G2" s="192"/>
      <c r="H2" s="192"/>
      <c r="I2" s="192"/>
      <c r="J2" s="193"/>
    </row>
    <row r="3" spans="1:26" ht="24.75" customHeight="1" thickBot="1" x14ac:dyDescent="0.25">
      <c r="A3" s="191" t="s">
        <v>66</v>
      </c>
      <c r="B3" s="192"/>
      <c r="C3" s="192"/>
      <c r="D3" s="192"/>
      <c r="E3" s="192"/>
      <c r="F3" s="192"/>
      <c r="G3" s="192"/>
      <c r="H3" s="192"/>
      <c r="I3" s="192"/>
      <c r="J3" s="193"/>
    </row>
    <row r="4" spans="1:26" ht="24.75" customHeight="1" x14ac:dyDescent="0.2">
      <c r="A4" s="194" t="s">
        <v>67</v>
      </c>
      <c r="B4" s="195"/>
      <c r="C4" s="195"/>
      <c r="D4" s="195"/>
      <c r="E4" s="195"/>
      <c r="F4" s="195"/>
      <c r="G4" s="195"/>
      <c r="H4" s="195"/>
      <c r="I4" s="195"/>
      <c r="J4" s="196"/>
    </row>
    <row r="5" spans="1:26" ht="24" customHeight="1" x14ac:dyDescent="0.2">
      <c r="A5" s="183" t="s">
        <v>2</v>
      </c>
      <c r="B5" s="183" t="s">
        <v>3</v>
      </c>
      <c r="C5" s="183" t="s">
        <v>4</v>
      </c>
      <c r="D5" s="183" t="s">
        <v>5</v>
      </c>
      <c r="E5" s="64">
        <v>46118</v>
      </c>
      <c r="F5" s="64">
        <v>46118</v>
      </c>
      <c r="G5" s="64">
        <v>46119</v>
      </c>
      <c r="H5" s="64">
        <v>46119</v>
      </c>
      <c r="I5" s="64">
        <v>46120</v>
      </c>
      <c r="J5" s="64">
        <v>46120</v>
      </c>
      <c r="K5" s="190" t="s">
        <v>6</v>
      </c>
      <c r="L5" s="187" t="s">
        <v>7</v>
      </c>
      <c r="M5" s="189" t="s">
        <v>8</v>
      </c>
    </row>
    <row r="6" spans="1:26" ht="51" customHeight="1" x14ac:dyDescent="0.2">
      <c r="A6" s="188"/>
      <c r="B6" s="188"/>
      <c r="C6" s="188"/>
      <c r="D6" s="188"/>
      <c r="E6" s="65" t="s">
        <v>61</v>
      </c>
      <c r="F6" s="66" t="s">
        <v>62</v>
      </c>
      <c r="G6" s="66" t="s">
        <v>63</v>
      </c>
      <c r="H6" s="66" t="s">
        <v>64</v>
      </c>
      <c r="I6" s="66" t="s">
        <v>65</v>
      </c>
      <c r="J6" s="66" t="s">
        <v>71</v>
      </c>
      <c r="K6" s="188"/>
      <c r="L6" s="188"/>
      <c r="M6" s="188"/>
    </row>
    <row r="7" spans="1:26" ht="33" customHeight="1" x14ac:dyDescent="0.25">
      <c r="A7" s="43">
        <v>1</v>
      </c>
      <c r="B7" s="51" t="s">
        <v>141</v>
      </c>
      <c r="C7" s="52" t="s">
        <v>142</v>
      </c>
      <c r="D7" s="53">
        <v>62.962962962962962</v>
      </c>
      <c r="E7" s="47">
        <v>11</v>
      </c>
      <c r="F7" s="47">
        <v>8</v>
      </c>
      <c r="G7" s="47">
        <v>18</v>
      </c>
      <c r="H7" s="47">
        <v>15</v>
      </c>
      <c r="I7" s="47"/>
      <c r="J7" s="48"/>
      <c r="K7" s="55">
        <f>SUM(E7:H7)</f>
        <v>52</v>
      </c>
      <c r="L7" s="50">
        <f>K7/80*100</f>
        <v>65</v>
      </c>
      <c r="M7" t="str">
        <f>IF(COUNTIF(E7:H7,"A")&gt;0,"A",IF(MIN(E7:H7)&gt;=7,"PASS","FAIL"))</f>
        <v>PASS</v>
      </c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6" ht="33" customHeight="1" x14ac:dyDescent="0.25">
      <c r="A8" s="43">
        <v>2</v>
      </c>
      <c r="B8" s="51" t="s">
        <v>95</v>
      </c>
      <c r="C8" s="52" t="s">
        <v>96</v>
      </c>
      <c r="D8" s="53">
        <v>79.629629629629633</v>
      </c>
      <c r="E8" s="47">
        <v>20</v>
      </c>
      <c r="F8" s="47">
        <v>20</v>
      </c>
      <c r="G8" s="47">
        <v>20</v>
      </c>
      <c r="H8" s="47">
        <v>18</v>
      </c>
      <c r="I8" s="47"/>
      <c r="J8" s="48"/>
      <c r="K8" s="55">
        <f t="shared" ref="K8:K41" si="0">SUM(E8:H8)</f>
        <v>78</v>
      </c>
      <c r="L8" s="50">
        <f t="shared" ref="L8:L41" si="1">K8/80*100</f>
        <v>97.5</v>
      </c>
      <c r="M8" t="str">
        <f t="shared" ref="M8:M41" si="2">IF(COUNTIF(E8:H8,"A")&gt;0,"A",IF(MIN(E8:H8)&gt;=7,"PASS","FAIL"))</f>
        <v>PASS</v>
      </c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ht="33" customHeight="1" x14ac:dyDescent="0.25">
      <c r="A9" s="43">
        <v>3</v>
      </c>
      <c r="B9" s="51" t="s">
        <v>129</v>
      </c>
      <c r="C9" s="52" t="s">
        <v>130</v>
      </c>
      <c r="D9" s="53">
        <v>64.197530864197532</v>
      </c>
      <c r="E9" s="47">
        <v>10</v>
      </c>
      <c r="F9" s="47">
        <v>12</v>
      </c>
      <c r="G9" s="47">
        <v>19</v>
      </c>
      <c r="H9" s="47">
        <v>15</v>
      </c>
      <c r="I9" s="47"/>
      <c r="J9" s="48"/>
      <c r="K9" s="55">
        <f t="shared" si="0"/>
        <v>56</v>
      </c>
      <c r="L9" s="50">
        <f t="shared" si="1"/>
        <v>70</v>
      </c>
      <c r="M9" t="str">
        <f t="shared" si="2"/>
        <v>PASS</v>
      </c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33" customHeight="1" x14ac:dyDescent="0.25">
      <c r="A10" s="43">
        <v>4</v>
      </c>
      <c r="B10" s="51" t="s">
        <v>119</v>
      </c>
      <c r="C10" s="52" t="s">
        <v>120</v>
      </c>
      <c r="D10" s="53">
        <v>66.049382716049394</v>
      </c>
      <c r="E10" s="47">
        <v>14</v>
      </c>
      <c r="F10" s="47">
        <v>19</v>
      </c>
      <c r="G10" s="47" t="s">
        <v>9</v>
      </c>
      <c r="H10" s="47" t="s">
        <v>9</v>
      </c>
      <c r="I10" s="47"/>
      <c r="J10" s="48"/>
      <c r="K10" s="55">
        <f t="shared" si="0"/>
        <v>33</v>
      </c>
      <c r="L10" s="50">
        <f t="shared" si="1"/>
        <v>41.25</v>
      </c>
      <c r="M10" t="str">
        <f t="shared" si="2"/>
        <v>A</v>
      </c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33" customHeight="1" x14ac:dyDescent="0.25">
      <c r="A11" s="43">
        <v>5</v>
      </c>
      <c r="B11" s="51" t="s">
        <v>157</v>
      </c>
      <c r="C11" s="52" t="s">
        <v>158</v>
      </c>
      <c r="D11" s="53">
        <v>59.876543209876544</v>
      </c>
      <c r="E11" s="47">
        <v>14</v>
      </c>
      <c r="F11" s="47">
        <v>13</v>
      </c>
      <c r="G11" s="47">
        <v>2</v>
      </c>
      <c r="H11" s="47">
        <v>16</v>
      </c>
      <c r="I11" s="47"/>
      <c r="J11" s="48"/>
      <c r="K11" s="55">
        <f t="shared" si="0"/>
        <v>45</v>
      </c>
      <c r="L11" s="50">
        <f t="shared" si="1"/>
        <v>56.25</v>
      </c>
      <c r="M11" t="str">
        <f t="shared" si="2"/>
        <v>FAIL</v>
      </c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1:26" ht="33" customHeight="1" x14ac:dyDescent="0.25">
      <c r="A12" s="43">
        <v>6</v>
      </c>
      <c r="B12" s="51" t="s">
        <v>107</v>
      </c>
      <c r="C12" s="52" t="s">
        <v>108</v>
      </c>
      <c r="D12" s="53">
        <v>68.518518518518519</v>
      </c>
      <c r="E12" s="47">
        <v>19</v>
      </c>
      <c r="F12" s="47">
        <v>20</v>
      </c>
      <c r="G12" s="47">
        <v>20</v>
      </c>
      <c r="H12" s="47">
        <v>17</v>
      </c>
      <c r="I12" s="47"/>
      <c r="J12" s="48"/>
      <c r="K12" s="55">
        <f t="shared" si="0"/>
        <v>76</v>
      </c>
      <c r="L12" s="50">
        <f t="shared" si="1"/>
        <v>95</v>
      </c>
      <c r="M12" t="str">
        <f t="shared" si="2"/>
        <v>PASS</v>
      </c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33" customHeight="1" x14ac:dyDescent="0.25">
      <c r="A13" s="43">
        <v>7</v>
      </c>
      <c r="B13" s="51" t="s">
        <v>147</v>
      </c>
      <c r="C13" s="52" t="s">
        <v>148</v>
      </c>
      <c r="D13" s="53">
        <v>61.728395061728392</v>
      </c>
      <c r="E13" s="47">
        <v>16</v>
      </c>
      <c r="F13" s="47">
        <v>20</v>
      </c>
      <c r="G13" s="47">
        <v>18</v>
      </c>
      <c r="H13" s="47">
        <v>14</v>
      </c>
      <c r="I13" s="47"/>
      <c r="J13" s="48"/>
      <c r="K13" s="55">
        <f t="shared" si="0"/>
        <v>68</v>
      </c>
      <c r="L13" s="50">
        <f t="shared" si="1"/>
        <v>85</v>
      </c>
      <c r="M13" t="str">
        <f t="shared" si="2"/>
        <v>PASS</v>
      </c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1:26" ht="33" customHeight="1" x14ac:dyDescent="0.25">
      <c r="A14" s="43">
        <v>8</v>
      </c>
      <c r="B14" s="51" t="s">
        <v>125</v>
      </c>
      <c r="C14" s="52" t="s">
        <v>126</v>
      </c>
      <c r="D14" s="53">
        <v>64.81481481481481</v>
      </c>
      <c r="E14" s="47">
        <v>15</v>
      </c>
      <c r="F14" s="47">
        <v>20</v>
      </c>
      <c r="G14" s="47">
        <v>19</v>
      </c>
      <c r="H14" s="47">
        <v>16</v>
      </c>
      <c r="I14" s="47"/>
      <c r="J14" s="48"/>
      <c r="K14" s="55">
        <f t="shared" si="0"/>
        <v>70</v>
      </c>
      <c r="L14" s="50">
        <f t="shared" si="1"/>
        <v>87.5</v>
      </c>
      <c r="M14" t="str">
        <f t="shared" si="2"/>
        <v>PASS</v>
      </c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 ht="33" customHeight="1" x14ac:dyDescent="0.25">
      <c r="A15" s="43">
        <v>9</v>
      </c>
      <c r="B15" s="51" t="s">
        <v>145</v>
      </c>
      <c r="C15" s="52" t="s">
        <v>146</v>
      </c>
      <c r="D15" s="53">
        <v>62.345679012345677</v>
      </c>
      <c r="E15" s="47">
        <v>11</v>
      </c>
      <c r="F15" s="47">
        <v>20</v>
      </c>
      <c r="G15" s="47">
        <v>17</v>
      </c>
      <c r="H15" s="47">
        <v>13</v>
      </c>
      <c r="I15" s="47"/>
      <c r="J15" s="48"/>
      <c r="K15" s="55">
        <f t="shared" si="0"/>
        <v>61</v>
      </c>
      <c r="L15" s="50">
        <f t="shared" si="1"/>
        <v>76.25</v>
      </c>
      <c r="M15" t="str">
        <f t="shared" si="2"/>
        <v>PASS</v>
      </c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1:26" ht="33" customHeight="1" x14ac:dyDescent="0.25">
      <c r="A16" s="43">
        <v>10</v>
      </c>
      <c r="B16" s="51" t="s">
        <v>103</v>
      </c>
      <c r="C16" s="52" t="s">
        <v>104</v>
      </c>
      <c r="D16" s="53">
        <v>69.753086419753089</v>
      </c>
      <c r="E16" s="47">
        <v>15</v>
      </c>
      <c r="F16" s="47">
        <v>14</v>
      </c>
      <c r="G16" s="47">
        <v>18</v>
      </c>
      <c r="H16" s="47">
        <v>15</v>
      </c>
      <c r="I16" s="47"/>
      <c r="J16" s="48"/>
      <c r="K16" s="55">
        <f t="shared" si="0"/>
        <v>62</v>
      </c>
      <c r="L16" s="50">
        <f t="shared" si="1"/>
        <v>77.5</v>
      </c>
      <c r="M16" t="str">
        <f t="shared" si="2"/>
        <v>PASS</v>
      </c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33" customHeight="1" x14ac:dyDescent="0.25">
      <c r="A17" s="43">
        <v>11</v>
      </c>
      <c r="B17" s="51" t="s">
        <v>121</v>
      </c>
      <c r="C17" s="52" t="s">
        <v>122</v>
      </c>
      <c r="D17" s="53">
        <v>66.049382716049394</v>
      </c>
      <c r="E17" s="47">
        <v>19</v>
      </c>
      <c r="F17" s="47">
        <v>20</v>
      </c>
      <c r="G17" s="47">
        <v>16</v>
      </c>
      <c r="H17" s="47">
        <v>14</v>
      </c>
      <c r="I17" s="47"/>
      <c r="J17" s="48"/>
      <c r="K17" s="55">
        <f t="shared" si="0"/>
        <v>69</v>
      </c>
      <c r="L17" s="50">
        <f t="shared" si="1"/>
        <v>86.25</v>
      </c>
      <c r="M17" t="str">
        <f t="shared" si="2"/>
        <v>PASS</v>
      </c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6" ht="33" customHeight="1" x14ac:dyDescent="0.25">
      <c r="A18" s="43">
        <v>12</v>
      </c>
      <c r="B18" s="51" t="s">
        <v>133</v>
      </c>
      <c r="C18" s="52" t="s">
        <v>134</v>
      </c>
      <c r="D18" s="53">
        <v>63.636363636363633</v>
      </c>
      <c r="E18" s="47">
        <v>13</v>
      </c>
      <c r="F18" s="47">
        <v>19</v>
      </c>
      <c r="G18" s="47">
        <v>14</v>
      </c>
      <c r="H18" s="47">
        <v>17</v>
      </c>
      <c r="I18" s="47"/>
      <c r="J18" s="48"/>
      <c r="K18" s="55">
        <f t="shared" si="0"/>
        <v>63</v>
      </c>
      <c r="L18" s="50">
        <f t="shared" si="1"/>
        <v>78.75</v>
      </c>
      <c r="M18" t="str">
        <f t="shared" si="2"/>
        <v>PASS</v>
      </c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spans="1:26" ht="33" customHeight="1" x14ac:dyDescent="0.25">
      <c r="A19" s="43">
        <v>13</v>
      </c>
      <c r="B19" s="51" t="s">
        <v>149</v>
      </c>
      <c r="C19" s="52" t="s">
        <v>150</v>
      </c>
      <c r="D19" s="53">
        <v>61.728395061728392</v>
      </c>
      <c r="E19" s="47">
        <v>14</v>
      </c>
      <c r="F19" s="47">
        <v>19</v>
      </c>
      <c r="G19" s="47">
        <v>12</v>
      </c>
      <c r="H19" s="47">
        <v>15</v>
      </c>
      <c r="I19" s="47"/>
      <c r="J19" s="48"/>
      <c r="K19" s="55">
        <f t="shared" si="0"/>
        <v>60</v>
      </c>
      <c r="L19" s="50">
        <f t="shared" si="1"/>
        <v>75</v>
      </c>
      <c r="M19" t="str">
        <f t="shared" si="2"/>
        <v>PASS</v>
      </c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spans="1:26" ht="33" customHeight="1" x14ac:dyDescent="0.25">
      <c r="A20" s="43">
        <v>14</v>
      </c>
      <c r="B20" s="51" t="s">
        <v>105</v>
      </c>
      <c r="C20" s="52" t="s">
        <v>106</v>
      </c>
      <c r="D20" s="53">
        <v>69.135802469135797</v>
      </c>
      <c r="E20" s="47">
        <v>19</v>
      </c>
      <c r="F20" s="47">
        <v>20</v>
      </c>
      <c r="G20" s="47">
        <v>14</v>
      </c>
      <c r="H20" s="47">
        <v>17</v>
      </c>
      <c r="I20" s="47"/>
      <c r="J20" s="48"/>
      <c r="K20" s="55">
        <f t="shared" si="0"/>
        <v>70</v>
      </c>
      <c r="L20" s="50">
        <f t="shared" si="1"/>
        <v>87.5</v>
      </c>
      <c r="M20" t="str">
        <f t="shared" si="2"/>
        <v>PASS</v>
      </c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ht="33" customHeight="1" x14ac:dyDescent="0.25">
      <c r="A21" s="43">
        <v>15</v>
      </c>
      <c r="B21" s="51" t="s">
        <v>113</v>
      </c>
      <c r="C21" s="52" t="s">
        <v>114</v>
      </c>
      <c r="D21" s="53">
        <v>67.283950617283949</v>
      </c>
      <c r="E21" s="47">
        <v>19</v>
      </c>
      <c r="F21" s="47">
        <v>20</v>
      </c>
      <c r="G21" s="47">
        <v>19</v>
      </c>
      <c r="H21" s="47">
        <v>16</v>
      </c>
      <c r="I21" s="47"/>
      <c r="J21" s="48"/>
      <c r="K21" s="55">
        <f t="shared" si="0"/>
        <v>74</v>
      </c>
      <c r="L21" s="50">
        <f t="shared" si="1"/>
        <v>92.5</v>
      </c>
      <c r="M21" t="str">
        <f t="shared" si="2"/>
        <v>PASS</v>
      </c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33" customHeight="1" x14ac:dyDescent="0.25">
      <c r="A22" s="43">
        <v>16</v>
      </c>
      <c r="B22" s="51" t="s">
        <v>153</v>
      </c>
      <c r="C22" s="52" t="s">
        <v>154</v>
      </c>
      <c r="D22" s="53">
        <v>60.493827160493829</v>
      </c>
      <c r="E22" s="47">
        <v>13</v>
      </c>
      <c r="F22" s="47">
        <v>16</v>
      </c>
      <c r="G22" s="47">
        <v>9</v>
      </c>
      <c r="H22" s="47">
        <v>13</v>
      </c>
      <c r="I22" s="47"/>
      <c r="J22" s="48"/>
      <c r="K22" s="55">
        <f t="shared" si="0"/>
        <v>51</v>
      </c>
      <c r="L22" s="50">
        <f t="shared" si="1"/>
        <v>63.749999999999993</v>
      </c>
      <c r="M22" t="str">
        <f t="shared" si="2"/>
        <v>PASS</v>
      </c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 ht="33" customHeight="1" x14ac:dyDescent="0.25">
      <c r="A23" s="43">
        <v>17</v>
      </c>
      <c r="B23" s="51" t="s">
        <v>127</v>
      </c>
      <c r="C23" s="52" t="s">
        <v>128</v>
      </c>
      <c r="D23" s="53">
        <v>64.81481481481481</v>
      </c>
      <c r="E23" s="47">
        <v>15</v>
      </c>
      <c r="F23" s="47">
        <v>19</v>
      </c>
      <c r="G23" s="47">
        <v>15</v>
      </c>
      <c r="H23" s="47">
        <v>16</v>
      </c>
      <c r="I23" s="47"/>
      <c r="J23" s="48"/>
      <c r="K23" s="55">
        <f t="shared" si="0"/>
        <v>65</v>
      </c>
      <c r="L23" s="50">
        <f t="shared" si="1"/>
        <v>81.25</v>
      </c>
      <c r="M23" t="str">
        <f t="shared" si="2"/>
        <v>PASS</v>
      </c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 ht="33" customHeight="1" x14ac:dyDescent="0.25">
      <c r="A24" s="43">
        <v>18</v>
      </c>
      <c r="B24" s="51" t="s">
        <v>135</v>
      </c>
      <c r="C24" s="52" t="s">
        <v>136</v>
      </c>
      <c r="D24" s="53">
        <v>63.636363636363633</v>
      </c>
      <c r="E24" s="47">
        <v>16</v>
      </c>
      <c r="F24" s="47">
        <v>19</v>
      </c>
      <c r="G24" s="47">
        <v>18</v>
      </c>
      <c r="H24" s="47">
        <v>17</v>
      </c>
      <c r="I24" s="47"/>
      <c r="J24" s="48"/>
      <c r="K24" s="55">
        <f t="shared" si="0"/>
        <v>70</v>
      </c>
      <c r="L24" s="50">
        <f t="shared" si="1"/>
        <v>87.5</v>
      </c>
      <c r="M24" t="str">
        <f t="shared" si="2"/>
        <v>PASS</v>
      </c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33" customHeight="1" x14ac:dyDescent="0.25">
      <c r="A25" s="43">
        <v>19</v>
      </c>
      <c r="B25" s="51" t="s">
        <v>143</v>
      </c>
      <c r="C25" s="52" t="s">
        <v>144</v>
      </c>
      <c r="D25" s="53">
        <v>62.962962962962962</v>
      </c>
      <c r="E25" s="47">
        <v>16</v>
      </c>
      <c r="F25" s="47">
        <v>16</v>
      </c>
      <c r="G25" s="47">
        <v>15</v>
      </c>
      <c r="H25" s="47">
        <v>16</v>
      </c>
      <c r="I25" s="47"/>
      <c r="J25" s="48"/>
      <c r="K25" s="55">
        <f t="shared" si="0"/>
        <v>63</v>
      </c>
      <c r="L25" s="50">
        <f t="shared" si="1"/>
        <v>78.75</v>
      </c>
      <c r="M25" t="str">
        <f t="shared" si="2"/>
        <v>PASS</v>
      </c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33" customHeight="1" x14ac:dyDescent="0.25">
      <c r="A26" s="43">
        <v>20</v>
      </c>
      <c r="B26" s="51" t="s">
        <v>99</v>
      </c>
      <c r="C26" s="52" t="s">
        <v>100</v>
      </c>
      <c r="D26" s="53">
        <v>74.691358024691354</v>
      </c>
      <c r="E26" s="117">
        <v>13</v>
      </c>
      <c r="F26" s="117">
        <v>14</v>
      </c>
      <c r="G26" s="117">
        <v>18</v>
      </c>
      <c r="H26" s="117">
        <v>19</v>
      </c>
      <c r="I26" s="67"/>
      <c r="J26" s="48"/>
      <c r="K26" s="55">
        <f t="shared" si="0"/>
        <v>64</v>
      </c>
      <c r="L26" s="50">
        <f t="shared" si="1"/>
        <v>80</v>
      </c>
      <c r="M26" t="str">
        <f t="shared" si="2"/>
        <v>PASS</v>
      </c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spans="1:26" ht="33" customHeight="1" x14ac:dyDescent="0.25">
      <c r="A27" s="43">
        <v>21</v>
      </c>
      <c r="B27" s="51" t="s">
        <v>109</v>
      </c>
      <c r="C27" s="52" t="s">
        <v>110</v>
      </c>
      <c r="D27" s="53">
        <v>68.518518518518519</v>
      </c>
      <c r="E27" s="47">
        <v>17</v>
      </c>
      <c r="F27" s="47">
        <v>16</v>
      </c>
      <c r="G27" s="47">
        <v>20</v>
      </c>
      <c r="H27" s="47">
        <v>16</v>
      </c>
      <c r="I27" s="47"/>
      <c r="J27" s="48"/>
      <c r="K27" s="55">
        <f t="shared" si="0"/>
        <v>69</v>
      </c>
      <c r="L27" s="50">
        <f t="shared" si="1"/>
        <v>86.25</v>
      </c>
      <c r="M27" t="str">
        <f t="shared" si="2"/>
        <v>PASS</v>
      </c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spans="1:26" ht="33" customHeight="1" x14ac:dyDescent="0.25">
      <c r="A28" s="43">
        <v>22</v>
      </c>
      <c r="B28" s="51" t="s">
        <v>97</v>
      </c>
      <c r="C28" s="52" t="s">
        <v>98</v>
      </c>
      <c r="D28" s="53">
        <v>79.629629629629633</v>
      </c>
      <c r="E28" s="47">
        <v>15</v>
      </c>
      <c r="F28" s="47">
        <v>16</v>
      </c>
      <c r="G28" s="47">
        <v>17</v>
      </c>
      <c r="H28" s="47">
        <v>19</v>
      </c>
      <c r="I28" s="47"/>
      <c r="J28" s="48"/>
      <c r="K28" s="55">
        <f t="shared" si="0"/>
        <v>67</v>
      </c>
      <c r="L28" s="50">
        <f t="shared" si="1"/>
        <v>83.75</v>
      </c>
      <c r="M28" t="str">
        <f t="shared" si="2"/>
        <v>PASS</v>
      </c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33" customHeight="1" x14ac:dyDescent="0.25">
      <c r="A29" s="43">
        <v>23</v>
      </c>
      <c r="B29" s="51" t="s">
        <v>115</v>
      </c>
      <c r="C29" s="52" t="s">
        <v>116</v>
      </c>
      <c r="D29" s="53">
        <v>66.883116883116884</v>
      </c>
      <c r="E29" s="47">
        <v>9</v>
      </c>
      <c r="F29" s="47">
        <v>8</v>
      </c>
      <c r="G29" s="47">
        <v>3</v>
      </c>
      <c r="H29" s="47">
        <v>17</v>
      </c>
      <c r="I29" s="47"/>
      <c r="J29" s="48"/>
      <c r="K29" s="55">
        <f t="shared" si="0"/>
        <v>37</v>
      </c>
      <c r="L29" s="50">
        <f t="shared" si="1"/>
        <v>46.25</v>
      </c>
      <c r="M29" t="str">
        <f t="shared" si="2"/>
        <v>FAIL</v>
      </c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spans="1:26" ht="33" customHeight="1" x14ac:dyDescent="0.25">
      <c r="A30" s="43">
        <v>24</v>
      </c>
      <c r="B30" s="51" t="s">
        <v>131</v>
      </c>
      <c r="C30" s="52" t="s">
        <v>132</v>
      </c>
      <c r="D30" s="53">
        <v>64.197530864197532</v>
      </c>
      <c r="E30" s="47">
        <v>15</v>
      </c>
      <c r="F30" s="47">
        <v>16</v>
      </c>
      <c r="G30" s="47">
        <v>16</v>
      </c>
      <c r="H30" s="47">
        <v>15</v>
      </c>
      <c r="I30" s="47"/>
      <c r="J30" s="48"/>
      <c r="K30" s="55">
        <f t="shared" si="0"/>
        <v>62</v>
      </c>
      <c r="L30" s="50">
        <f t="shared" si="1"/>
        <v>77.5</v>
      </c>
      <c r="M30" t="str">
        <f t="shared" si="2"/>
        <v>PASS</v>
      </c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spans="1:26" ht="28.5" customHeight="1" x14ac:dyDescent="0.25">
      <c r="A31" s="43">
        <v>25</v>
      </c>
      <c r="B31" s="51" t="s">
        <v>137</v>
      </c>
      <c r="C31" s="52" t="s">
        <v>138</v>
      </c>
      <c r="D31" s="53">
        <v>63.580246913580254</v>
      </c>
      <c r="E31" s="47">
        <v>18</v>
      </c>
      <c r="F31" s="47">
        <v>16</v>
      </c>
      <c r="G31" s="47">
        <v>17</v>
      </c>
      <c r="H31" s="47">
        <v>14</v>
      </c>
      <c r="I31" s="47"/>
      <c r="J31" s="48"/>
      <c r="K31" s="55">
        <f t="shared" si="0"/>
        <v>65</v>
      </c>
      <c r="L31" s="50">
        <f t="shared" si="1"/>
        <v>81.25</v>
      </c>
      <c r="M31" t="str">
        <f t="shared" si="2"/>
        <v>PASS</v>
      </c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spans="1:26" ht="33" customHeight="1" x14ac:dyDescent="0.25">
      <c r="A32" s="43">
        <v>26</v>
      </c>
      <c r="B32" s="51" t="s">
        <v>151</v>
      </c>
      <c r="C32" s="52" t="s">
        <v>152</v>
      </c>
      <c r="D32" s="53">
        <v>61.728395061728392</v>
      </c>
      <c r="E32" s="47">
        <v>16</v>
      </c>
      <c r="F32" s="47">
        <v>10</v>
      </c>
      <c r="G32" s="47">
        <v>19</v>
      </c>
      <c r="H32" s="47">
        <v>19</v>
      </c>
      <c r="I32" s="47"/>
      <c r="J32" s="48"/>
      <c r="K32" s="55">
        <f t="shared" si="0"/>
        <v>64</v>
      </c>
      <c r="L32" s="50">
        <f t="shared" si="1"/>
        <v>80</v>
      </c>
      <c r="M32" t="str">
        <f t="shared" si="2"/>
        <v>PASS</v>
      </c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spans="1:26" ht="27.75" customHeight="1" x14ac:dyDescent="0.25">
      <c r="A33" s="43">
        <v>27</v>
      </c>
      <c r="B33" s="51" t="s">
        <v>155</v>
      </c>
      <c r="C33" s="52" t="s">
        <v>156</v>
      </c>
      <c r="D33" s="53">
        <v>60.493827160493829</v>
      </c>
      <c r="E33" s="47">
        <v>19</v>
      </c>
      <c r="F33" s="47">
        <v>16</v>
      </c>
      <c r="G33" s="47">
        <v>19</v>
      </c>
      <c r="H33" s="47">
        <v>18</v>
      </c>
      <c r="I33" s="47"/>
      <c r="J33" s="48"/>
      <c r="K33" s="55">
        <f t="shared" si="0"/>
        <v>72</v>
      </c>
      <c r="L33" s="50">
        <f t="shared" si="1"/>
        <v>90</v>
      </c>
      <c r="M33" t="str">
        <f t="shared" si="2"/>
        <v>PASS</v>
      </c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spans="1:26" ht="23.25" customHeight="1" x14ac:dyDescent="0.25">
      <c r="A34" s="43">
        <v>28</v>
      </c>
      <c r="B34" s="51" t="s">
        <v>101</v>
      </c>
      <c r="C34" s="52" t="s">
        <v>102</v>
      </c>
      <c r="D34" s="53">
        <v>70.370370370370367</v>
      </c>
      <c r="E34" s="47">
        <v>17</v>
      </c>
      <c r="F34" s="47">
        <v>16</v>
      </c>
      <c r="G34" s="47">
        <v>19</v>
      </c>
      <c r="H34" s="47">
        <v>16</v>
      </c>
      <c r="I34" s="47"/>
      <c r="J34" s="48"/>
      <c r="K34" s="55">
        <f t="shared" si="0"/>
        <v>68</v>
      </c>
      <c r="L34" s="50">
        <f t="shared" si="1"/>
        <v>85</v>
      </c>
      <c r="M34" t="str">
        <f t="shared" si="2"/>
        <v>PASS</v>
      </c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spans="1:26" ht="27" customHeight="1" x14ac:dyDescent="0.25">
      <c r="A35" s="43">
        <v>29</v>
      </c>
      <c r="B35" s="51" t="s">
        <v>111</v>
      </c>
      <c r="C35" s="52" t="s">
        <v>112</v>
      </c>
      <c r="D35" s="53">
        <v>68.518518518518519</v>
      </c>
      <c r="E35" s="47">
        <v>14</v>
      </c>
      <c r="F35" s="47">
        <v>12</v>
      </c>
      <c r="G35" s="47">
        <v>15</v>
      </c>
      <c r="H35" s="47">
        <v>15</v>
      </c>
      <c r="I35" s="47"/>
      <c r="J35" s="48"/>
      <c r="K35" s="55">
        <f t="shared" si="0"/>
        <v>56</v>
      </c>
      <c r="L35" s="50">
        <f t="shared" si="1"/>
        <v>70</v>
      </c>
      <c r="M35" t="str">
        <f t="shared" si="2"/>
        <v>PASS</v>
      </c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spans="1:26" ht="29.25" customHeight="1" x14ac:dyDescent="0.25">
      <c r="A36" s="43">
        <v>30</v>
      </c>
      <c r="B36" s="51" t="s">
        <v>93</v>
      </c>
      <c r="C36" s="52" t="s">
        <v>94</v>
      </c>
      <c r="D36" s="53">
        <v>82.467532467532465</v>
      </c>
      <c r="E36" s="47">
        <v>18</v>
      </c>
      <c r="F36" s="47">
        <v>12</v>
      </c>
      <c r="G36" s="47">
        <v>18</v>
      </c>
      <c r="H36" s="47">
        <v>18</v>
      </c>
      <c r="I36" s="47"/>
      <c r="J36" s="48"/>
      <c r="K36" s="55">
        <f t="shared" si="0"/>
        <v>66</v>
      </c>
      <c r="L36" s="50">
        <f t="shared" si="1"/>
        <v>82.5</v>
      </c>
      <c r="M36" t="str">
        <f t="shared" si="2"/>
        <v>PASS</v>
      </c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spans="1:26" ht="33" customHeight="1" x14ac:dyDescent="0.25">
      <c r="A37" s="43">
        <v>31</v>
      </c>
      <c r="B37" s="51" t="s">
        <v>139</v>
      </c>
      <c r="C37" s="52" t="s">
        <v>140</v>
      </c>
      <c r="D37" s="53">
        <v>63.580246913580254</v>
      </c>
      <c r="E37" s="47">
        <v>17</v>
      </c>
      <c r="F37" s="47">
        <v>16</v>
      </c>
      <c r="G37" s="47">
        <v>16</v>
      </c>
      <c r="H37" s="47">
        <v>17</v>
      </c>
      <c r="I37" s="47"/>
      <c r="J37" s="48"/>
      <c r="K37" s="55">
        <f t="shared" si="0"/>
        <v>66</v>
      </c>
      <c r="L37" s="50">
        <f t="shared" si="1"/>
        <v>82.5</v>
      </c>
      <c r="M37" t="str">
        <f t="shared" si="2"/>
        <v>PASS</v>
      </c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6" ht="33" customHeight="1" x14ac:dyDescent="0.25">
      <c r="A38" s="43">
        <v>32</v>
      </c>
      <c r="B38" s="51" t="s">
        <v>123</v>
      </c>
      <c r="C38" s="52" t="s">
        <v>124</v>
      </c>
      <c r="D38" s="53">
        <v>65.432098765432102</v>
      </c>
      <c r="E38" s="47">
        <v>15</v>
      </c>
      <c r="F38" s="47">
        <v>14</v>
      </c>
      <c r="G38" s="47">
        <v>12</v>
      </c>
      <c r="H38" s="47">
        <v>12</v>
      </c>
      <c r="I38" s="47"/>
      <c r="J38" s="48"/>
      <c r="K38" s="55">
        <f t="shared" si="0"/>
        <v>53</v>
      </c>
      <c r="L38" s="50">
        <f t="shared" si="1"/>
        <v>66.25</v>
      </c>
      <c r="M38" t="str">
        <f t="shared" si="2"/>
        <v>PASS</v>
      </c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spans="1:26" ht="33" customHeight="1" x14ac:dyDescent="0.25">
      <c r="A39" s="43">
        <v>33</v>
      </c>
      <c r="B39" s="51" t="s">
        <v>117</v>
      </c>
      <c r="C39" s="52" t="s">
        <v>118</v>
      </c>
      <c r="D39" s="53">
        <v>66.153846153846146</v>
      </c>
      <c r="E39" s="47">
        <v>10</v>
      </c>
      <c r="F39" s="47">
        <v>16</v>
      </c>
      <c r="G39" s="47">
        <v>10</v>
      </c>
      <c r="H39" s="47">
        <v>12</v>
      </c>
      <c r="I39" s="47"/>
      <c r="J39" s="48"/>
      <c r="K39" s="55">
        <f t="shared" si="0"/>
        <v>48</v>
      </c>
      <c r="L39" s="50">
        <f t="shared" si="1"/>
        <v>60</v>
      </c>
      <c r="M39" t="str">
        <f t="shared" si="2"/>
        <v>PASS</v>
      </c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spans="1:26" ht="33" customHeight="1" x14ac:dyDescent="0.25">
      <c r="A40" s="43">
        <v>34</v>
      </c>
      <c r="B40" s="51" t="s">
        <v>161</v>
      </c>
      <c r="C40" s="52" t="s">
        <v>162</v>
      </c>
      <c r="D40" s="53">
        <v>59.740259740259738</v>
      </c>
      <c r="E40" s="47">
        <v>15</v>
      </c>
      <c r="F40" s="47">
        <v>7</v>
      </c>
      <c r="G40" s="47">
        <v>16</v>
      </c>
      <c r="H40" s="47">
        <v>12</v>
      </c>
      <c r="I40" s="47"/>
      <c r="J40" s="48"/>
      <c r="K40" s="55">
        <f t="shared" si="0"/>
        <v>50</v>
      </c>
      <c r="L40" s="50">
        <f t="shared" si="1"/>
        <v>62.5</v>
      </c>
      <c r="M40" t="str">
        <f t="shared" si="2"/>
        <v>PASS</v>
      </c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spans="1:26" ht="33" customHeight="1" x14ac:dyDescent="0.25">
      <c r="A41" s="43">
        <v>35</v>
      </c>
      <c r="B41" s="51" t="s">
        <v>159</v>
      </c>
      <c r="C41" s="52" t="s">
        <v>160</v>
      </c>
      <c r="D41" s="53">
        <v>59.876543209876544</v>
      </c>
      <c r="E41" s="47">
        <v>17</v>
      </c>
      <c r="F41" s="47">
        <v>16</v>
      </c>
      <c r="G41" s="47">
        <v>20</v>
      </c>
      <c r="H41" s="47">
        <v>18</v>
      </c>
      <c r="I41" s="47"/>
      <c r="J41" s="48"/>
      <c r="K41" s="55">
        <f t="shared" si="0"/>
        <v>71</v>
      </c>
      <c r="L41" s="50">
        <f t="shared" si="1"/>
        <v>88.75</v>
      </c>
      <c r="M41" t="str">
        <f t="shared" si="2"/>
        <v>PASS</v>
      </c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spans="1:26" ht="15.75" customHeight="1" x14ac:dyDescent="0.2">
      <c r="E42" s="68"/>
      <c r="F42" s="68"/>
      <c r="G42" s="68"/>
      <c r="H42" s="68"/>
      <c r="I42" s="68"/>
      <c r="J42" s="68"/>
      <c r="K42" s="68"/>
      <c r="L42" s="68"/>
    </row>
    <row r="43" spans="1:26" ht="27.75" customHeight="1" x14ac:dyDescent="0.2">
      <c r="A43" s="69"/>
      <c r="B43" s="69"/>
      <c r="C43" s="54"/>
      <c r="D43" s="54"/>
      <c r="E43" s="54"/>
      <c r="F43" s="54"/>
      <c r="G43" s="54"/>
      <c r="H43" s="57"/>
      <c r="I43" s="70"/>
      <c r="J43" s="58" t="s">
        <v>10</v>
      </c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</row>
    <row r="44" spans="1:26" ht="27.75" customHeight="1" x14ac:dyDescent="0.2">
      <c r="A44" s="69"/>
      <c r="B44" s="69"/>
      <c r="C44" s="59" t="s">
        <v>11</v>
      </c>
      <c r="D44" s="60"/>
      <c r="E44" s="58">
        <f t="shared" ref="E44:I44" si="3">COUNTA(E7:E41)</f>
        <v>35</v>
      </c>
      <c r="F44" s="58">
        <f t="shared" si="3"/>
        <v>35</v>
      </c>
      <c r="G44" s="58">
        <f t="shared" si="3"/>
        <v>35</v>
      </c>
      <c r="H44" s="58">
        <f t="shared" si="3"/>
        <v>35</v>
      </c>
      <c r="I44" s="58">
        <f t="shared" si="3"/>
        <v>0</v>
      </c>
      <c r="J44" s="58">
        <f>COUNTA(K7:K41)</f>
        <v>35</v>
      </c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</row>
    <row r="45" spans="1:26" ht="27.75" customHeight="1" x14ac:dyDescent="0.2">
      <c r="A45" s="69"/>
      <c r="B45" s="69"/>
      <c r="C45" s="59" t="s">
        <v>12</v>
      </c>
      <c r="D45" s="60"/>
      <c r="E45" s="58">
        <f>COUNTIF(E7:E41,"A")</f>
        <v>0</v>
      </c>
      <c r="F45" s="58">
        <f>COUNTIF(F7:F41,"A")</f>
        <v>0</v>
      </c>
      <c r="G45" s="58">
        <f>COUNTIF(G7:G41,"A")</f>
        <v>1</v>
      </c>
      <c r="H45" s="58">
        <f>COUNTIF(H7:H41,"A")</f>
        <v>1</v>
      </c>
      <c r="I45" s="58">
        <f>COUNTIF(I7:I41,"A")</f>
        <v>0</v>
      </c>
      <c r="J45" s="58">
        <f>COUNTIF(M7:M41,"A")</f>
        <v>1</v>
      </c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</row>
    <row r="46" spans="1:26" ht="27.75" customHeight="1" x14ac:dyDescent="0.2">
      <c r="A46" s="69"/>
      <c r="B46" s="69"/>
      <c r="C46" s="59" t="s">
        <v>13</v>
      </c>
      <c r="D46" s="60"/>
      <c r="E46" s="58">
        <f t="shared" ref="E46:J46" si="4">E44-E45</f>
        <v>35</v>
      </c>
      <c r="F46" s="58">
        <f t="shared" si="4"/>
        <v>35</v>
      </c>
      <c r="G46" s="58">
        <f t="shared" si="4"/>
        <v>34</v>
      </c>
      <c r="H46" s="58">
        <f t="shared" si="4"/>
        <v>34</v>
      </c>
      <c r="I46" s="58">
        <f t="shared" si="4"/>
        <v>0</v>
      </c>
      <c r="J46" s="58">
        <f t="shared" si="4"/>
        <v>34</v>
      </c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</row>
    <row r="47" spans="1:26" ht="27.75" customHeight="1" x14ac:dyDescent="0.2">
      <c r="A47" s="69"/>
      <c r="B47" s="69"/>
      <c r="C47" s="59" t="s">
        <v>14</v>
      </c>
      <c r="D47" s="60"/>
      <c r="E47" s="58">
        <f>COUNTIF(E7:E41, "&gt;=7")</f>
        <v>35</v>
      </c>
      <c r="F47" s="58">
        <f t="shared" ref="F47:H47" si="5">COUNTIF(F7:F41, "&gt;=7")</f>
        <v>35</v>
      </c>
      <c r="G47" s="58">
        <f t="shared" si="5"/>
        <v>32</v>
      </c>
      <c r="H47" s="58">
        <f t="shared" si="5"/>
        <v>34</v>
      </c>
      <c r="I47" s="58">
        <f>COUNTIF(I7:I41, "&gt;=22")</f>
        <v>0</v>
      </c>
      <c r="J47" s="58">
        <f>COUNTIF(M7:M41, "PASS")</f>
        <v>32</v>
      </c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</row>
    <row r="48" spans="1:26" ht="27.75" customHeight="1" x14ac:dyDescent="0.2">
      <c r="A48" s="69"/>
      <c r="B48" s="69"/>
      <c r="C48" s="59" t="s">
        <v>15</v>
      </c>
      <c r="D48" s="60"/>
      <c r="E48" s="61">
        <f t="shared" ref="E48:J48" si="6">E47/E46</f>
        <v>1</v>
      </c>
      <c r="F48" s="61">
        <f t="shared" si="6"/>
        <v>1</v>
      </c>
      <c r="G48" s="61">
        <f t="shared" si="6"/>
        <v>0.94117647058823528</v>
      </c>
      <c r="H48" s="61">
        <f t="shared" si="6"/>
        <v>1</v>
      </c>
      <c r="I48" s="61" t="e">
        <f t="shared" si="6"/>
        <v>#DIV/0!</v>
      </c>
      <c r="J48" s="61">
        <f t="shared" si="6"/>
        <v>0.94117647058823528</v>
      </c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</row>
    <row r="49" spans="5:12" ht="15.75" customHeight="1" x14ac:dyDescent="0.2">
      <c r="E49" s="68"/>
      <c r="F49" s="68"/>
      <c r="G49" s="68"/>
      <c r="H49" s="68"/>
      <c r="I49" s="68"/>
      <c r="J49" s="68"/>
    </row>
    <row r="50" spans="5:12" ht="15.75" customHeight="1" x14ac:dyDescent="0.2">
      <c r="E50" s="68"/>
      <c r="F50" s="68"/>
      <c r="G50" s="68"/>
      <c r="H50" s="68"/>
      <c r="I50" s="68"/>
      <c r="J50" s="68"/>
    </row>
    <row r="51" spans="5:12" ht="15.75" customHeight="1" x14ac:dyDescent="0.2">
      <c r="E51" s="68"/>
      <c r="F51" s="68"/>
      <c r="G51" s="68"/>
      <c r="H51" s="68"/>
      <c r="I51" s="68"/>
      <c r="J51" s="68"/>
      <c r="K51" s="68"/>
      <c r="L51" s="68"/>
    </row>
    <row r="52" spans="5:12" ht="15.75" customHeight="1" x14ac:dyDescent="0.2">
      <c r="E52" s="68"/>
      <c r="F52" s="68"/>
      <c r="G52" s="68"/>
      <c r="H52" s="68"/>
      <c r="I52" s="68"/>
      <c r="J52" s="68"/>
      <c r="K52" s="68"/>
      <c r="L52" s="68"/>
    </row>
    <row r="53" spans="5:12" ht="15.75" customHeight="1" x14ac:dyDescent="0.2">
      <c r="E53" s="68"/>
      <c r="F53" s="68"/>
      <c r="G53" s="68"/>
      <c r="H53" s="68"/>
      <c r="I53" s="68"/>
      <c r="J53" s="68"/>
      <c r="K53" s="68"/>
      <c r="L53" s="68"/>
    </row>
    <row r="54" spans="5:12" ht="15.75" customHeight="1" x14ac:dyDescent="0.2">
      <c r="E54" s="68"/>
      <c r="F54" s="68"/>
      <c r="G54" s="68"/>
      <c r="H54" s="68"/>
      <c r="I54" s="68"/>
      <c r="J54" s="68"/>
      <c r="K54" s="68"/>
      <c r="L54" s="68"/>
    </row>
    <row r="55" spans="5:12" ht="15.75" customHeight="1" x14ac:dyDescent="0.2">
      <c r="E55" s="68"/>
      <c r="F55" s="68"/>
      <c r="G55" s="68"/>
      <c r="H55" s="68"/>
      <c r="I55" s="68"/>
      <c r="J55" s="68"/>
      <c r="K55" s="68"/>
      <c r="L55" s="68"/>
    </row>
    <row r="56" spans="5:12" ht="15.75" customHeight="1" x14ac:dyDescent="0.2">
      <c r="E56" s="68"/>
      <c r="F56" s="68"/>
      <c r="G56" s="68"/>
      <c r="H56" s="68"/>
      <c r="I56" s="68"/>
      <c r="J56" s="68"/>
      <c r="K56" s="68"/>
      <c r="L56" s="68"/>
    </row>
    <row r="57" spans="5:12" ht="15.75" customHeight="1" x14ac:dyDescent="0.2">
      <c r="E57" s="68"/>
      <c r="F57" s="68"/>
      <c r="G57" s="68"/>
      <c r="H57" s="68"/>
      <c r="I57" s="68"/>
      <c r="J57" s="68"/>
      <c r="K57" s="68"/>
      <c r="L57" s="68"/>
    </row>
    <row r="58" spans="5:12" ht="15.75" customHeight="1" x14ac:dyDescent="0.2">
      <c r="E58" s="68"/>
      <c r="F58" s="68"/>
      <c r="G58" s="68"/>
      <c r="H58" s="68"/>
      <c r="I58" s="68"/>
      <c r="J58" s="68"/>
      <c r="K58" s="68"/>
      <c r="L58" s="68"/>
    </row>
    <row r="59" spans="5:12" ht="15.75" customHeight="1" x14ac:dyDescent="0.2">
      <c r="E59" s="68"/>
      <c r="F59" s="68"/>
      <c r="G59" s="68"/>
      <c r="H59" s="68"/>
      <c r="I59" s="68"/>
      <c r="J59" s="68"/>
      <c r="K59" s="68"/>
      <c r="L59" s="68"/>
    </row>
    <row r="60" spans="5:12" ht="15.75" customHeight="1" x14ac:dyDescent="0.2">
      <c r="E60" s="68"/>
      <c r="F60" s="68"/>
      <c r="G60" s="68"/>
      <c r="H60" s="68"/>
      <c r="I60" s="68"/>
      <c r="J60" s="68"/>
      <c r="K60" s="68"/>
      <c r="L60" s="68"/>
    </row>
    <row r="61" spans="5:12" ht="15.75" customHeight="1" x14ac:dyDescent="0.2">
      <c r="E61" s="68"/>
      <c r="F61" s="68"/>
      <c r="G61" s="68"/>
      <c r="H61" s="68"/>
      <c r="I61" s="68"/>
      <c r="J61" s="68"/>
      <c r="K61" s="68"/>
      <c r="L61" s="68"/>
    </row>
    <row r="62" spans="5:12" ht="15.75" customHeight="1" x14ac:dyDescent="0.2">
      <c r="E62" s="68"/>
      <c r="F62" s="68"/>
      <c r="G62" s="68"/>
      <c r="H62" s="68"/>
      <c r="I62" s="68"/>
      <c r="J62" s="68"/>
      <c r="K62" s="68"/>
      <c r="L62" s="68"/>
    </row>
    <row r="63" spans="5:12" ht="15.75" customHeight="1" x14ac:dyDescent="0.2">
      <c r="E63" s="68"/>
      <c r="F63" s="68"/>
      <c r="G63" s="68"/>
      <c r="H63" s="68"/>
      <c r="I63" s="68"/>
      <c r="J63" s="68"/>
      <c r="K63" s="68"/>
      <c r="L63" s="68"/>
    </row>
    <row r="64" spans="5:12" ht="15.75" customHeight="1" x14ac:dyDescent="0.2">
      <c r="E64" s="68"/>
      <c r="F64" s="68"/>
      <c r="G64" s="68"/>
      <c r="H64" s="68"/>
      <c r="I64" s="68"/>
      <c r="J64" s="68"/>
      <c r="K64" s="68"/>
      <c r="L64" s="68"/>
    </row>
    <row r="65" spans="5:12" ht="15.75" customHeight="1" x14ac:dyDescent="0.2">
      <c r="E65" s="68"/>
      <c r="F65" s="68"/>
      <c r="G65" s="68"/>
      <c r="H65" s="68"/>
      <c r="I65" s="68"/>
      <c r="J65" s="68"/>
      <c r="K65" s="68"/>
      <c r="L65" s="68"/>
    </row>
    <row r="66" spans="5:12" ht="15.75" customHeight="1" x14ac:dyDescent="0.2">
      <c r="E66" s="68"/>
      <c r="F66" s="68"/>
      <c r="G66" s="68"/>
      <c r="H66" s="68"/>
      <c r="I66" s="68"/>
      <c r="J66" s="68"/>
      <c r="K66" s="68"/>
      <c r="L66" s="68"/>
    </row>
    <row r="67" spans="5:12" ht="15.75" customHeight="1" x14ac:dyDescent="0.2">
      <c r="E67" s="68"/>
      <c r="F67" s="68"/>
      <c r="G67" s="68"/>
      <c r="H67" s="68"/>
      <c r="I67" s="68"/>
      <c r="J67" s="68"/>
      <c r="K67" s="68"/>
      <c r="L67" s="68"/>
    </row>
    <row r="68" spans="5:12" ht="15.75" customHeight="1" x14ac:dyDescent="0.2">
      <c r="E68" s="68"/>
      <c r="F68" s="68"/>
      <c r="G68" s="68"/>
      <c r="H68" s="68"/>
      <c r="I68" s="68"/>
      <c r="J68" s="68"/>
      <c r="K68" s="68"/>
      <c r="L68" s="68"/>
    </row>
    <row r="69" spans="5:12" ht="15.75" customHeight="1" x14ac:dyDescent="0.2">
      <c r="E69" s="68"/>
      <c r="F69" s="68"/>
      <c r="G69" s="68"/>
      <c r="H69" s="68"/>
      <c r="I69" s="68"/>
      <c r="J69" s="68"/>
      <c r="K69" s="68"/>
      <c r="L69" s="68"/>
    </row>
    <row r="70" spans="5:12" ht="15.75" customHeight="1" x14ac:dyDescent="0.2">
      <c r="E70" s="68"/>
      <c r="F70" s="68"/>
      <c r="G70" s="68"/>
      <c r="H70" s="68"/>
      <c r="I70" s="68"/>
      <c r="J70" s="68"/>
      <c r="K70" s="68"/>
      <c r="L70" s="68"/>
    </row>
    <row r="71" spans="5:12" ht="15.75" customHeight="1" x14ac:dyDescent="0.2">
      <c r="E71" s="68"/>
      <c r="F71" s="68"/>
      <c r="G71" s="68"/>
      <c r="H71" s="68"/>
      <c r="I71" s="68"/>
      <c r="J71" s="68"/>
      <c r="K71" s="68"/>
      <c r="L71" s="68"/>
    </row>
    <row r="72" spans="5:12" ht="15.75" customHeight="1" x14ac:dyDescent="0.2">
      <c r="E72" s="68"/>
      <c r="F72" s="68"/>
      <c r="G72" s="68"/>
      <c r="H72" s="68"/>
      <c r="I72" s="68"/>
      <c r="J72" s="68"/>
      <c r="K72" s="68"/>
      <c r="L72" s="68"/>
    </row>
    <row r="73" spans="5:12" ht="15.75" customHeight="1" x14ac:dyDescent="0.2">
      <c r="E73" s="68"/>
      <c r="F73" s="68"/>
      <c r="G73" s="68"/>
      <c r="H73" s="68"/>
      <c r="I73" s="68"/>
      <c r="J73" s="68"/>
      <c r="K73" s="68"/>
      <c r="L73" s="68"/>
    </row>
    <row r="74" spans="5:12" ht="15.75" customHeight="1" x14ac:dyDescent="0.2">
      <c r="E74" s="68"/>
      <c r="F74" s="68"/>
      <c r="G74" s="68"/>
      <c r="H74" s="68"/>
      <c r="I74" s="68"/>
      <c r="J74" s="68"/>
      <c r="K74" s="68"/>
      <c r="L74" s="68"/>
    </row>
    <row r="75" spans="5:12" ht="15.75" customHeight="1" x14ac:dyDescent="0.2">
      <c r="E75" s="68"/>
      <c r="F75" s="68"/>
      <c r="G75" s="68"/>
      <c r="H75" s="68"/>
      <c r="I75" s="68"/>
      <c r="J75" s="68"/>
      <c r="K75" s="68"/>
      <c r="L75" s="68"/>
    </row>
    <row r="76" spans="5:12" ht="15.75" customHeight="1" x14ac:dyDescent="0.2">
      <c r="E76" s="68"/>
      <c r="F76" s="68"/>
      <c r="G76" s="68"/>
      <c r="H76" s="68"/>
      <c r="I76" s="68"/>
      <c r="J76" s="68"/>
      <c r="K76" s="68"/>
      <c r="L76" s="68"/>
    </row>
    <row r="77" spans="5:12" ht="15.75" customHeight="1" x14ac:dyDescent="0.2">
      <c r="E77" s="68"/>
      <c r="F77" s="68"/>
      <c r="G77" s="68"/>
      <c r="H77" s="68"/>
      <c r="I77" s="68"/>
      <c r="J77" s="68"/>
      <c r="K77" s="68"/>
      <c r="L77" s="68"/>
    </row>
    <row r="78" spans="5:12" ht="15.75" customHeight="1" x14ac:dyDescent="0.2">
      <c r="E78" s="68"/>
      <c r="F78" s="68"/>
      <c r="G78" s="68"/>
      <c r="H78" s="68"/>
      <c r="I78" s="68"/>
      <c r="J78" s="68"/>
      <c r="K78" s="68"/>
      <c r="L78" s="68"/>
    </row>
    <row r="79" spans="5:12" ht="15.75" customHeight="1" x14ac:dyDescent="0.2">
      <c r="E79" s="68"/>
      <c r="F79" s="68"/>
      <c r="G79" s="68"/>
      <c r="H79" s="68"/>
      <c r="I79" s="68"/>
      <c r="J79" s="68"/>
      <c r="K79" s="68"/>
      <c r="L79" s="68"/>
    </row>
    <row r="80" spans="5:12" ht="15.75" customHeight="1" x14ac:dyDescent="0.2">
      <c r="E80" s="68"/>
      <c r="F80" s="68"/>
      <c r="G80" s="68"/>
      <c r="H80" s="68"/>
      <c r="I80" s="68"/>
      <c r="J80" s="68"/>
      <c r="K80" s="68"/>
      <c r="L80" s="68"/>
    </row>
    <row r="81" spans="5:12" ht="15.75" customHeight="1" x14ac:dyDescent="0.2">
      <c r="E81" s="68"/>
      <c r="F81" s="68"/>
      <c r="G81" s="68"/>
      <c r="H81" s="68"/>
      <c r="I81" s="68"/>
      <c r="J81" s="68"/>
      <c r="K81" s="68"/>
      <c r="L81" s="68"/>
    </row>
    <row r="82" spans="5:12" ht="15.75" customHeight="1" x14ac:dyDescent="0.2">
      <c r="E82" s="68"/>
      <c r="F82" s="68"/>
      <c r="G82" s="68"/>
      <c r="H82" s="68"/>
      <c r="I82" s="68"/>
      <c r="J82" s="68"/>
      <c r="K82" s="68"/>
      <c r="L82" s="68"/>
    </row>
    <row r="83" spans="5:12" ht="15.75" customHeight="1" x14ac:dyDescent="0.2">
      <c r="E83" s="68"/>
      <c r="F83" s="68"/>
      <c r="G83" s="68"/>
      <c r="H83" s="68"/>
      <c r="I83" s="68"/>
      <c r="J83" s="68"/>
      <c r="K83" s="68"/>
      <c r="L83" s="68"/>
    </row>
    <row r="84" spans="5:12" ht="15.75" customHeight="1" x14ac:dyDescent="0.2">
      <c r="E84" s="68"/>
      <c r="F84" s="68"/>
      <c r="G84" s="68"/>
      <c r="H84" s="68"/>
      <c r="I84" s="68"/>
      <c r="J84" s="68"/>
      <c r="K84" s="68"/>
      <c r="L84" s="68"/>
    </row>
    <row r="85" spans="5:12" ht="15.75" customHeight="1" x14ac:dyDescent="0.2">
      <c r="E85" s="68"/>
      <c r="F85" s="68"/>
      <c r="G85" s="68"/>
      <c r="H85" s="68"/>
      <c r="I85" s="68"/>
      <c r="J85" s="68"/>
      <c r="K85" s="68"/>
      <c r="L85" s="68"/>
    </row>
    <row r="86" spans="5:12" ht="15.75" customHeight="1" x14ac:dyDescent="0.2">
      <c r="E86" s="68"/>
      <c r="F86" s="68"/>
      <c r="G86" s="68"/>
      <c r="H86" s="68"/>
      <c r="I86" s="68"/>
      <c r="J86" s="68"/>
      <c r="K86" s="68"/>
      <c r="L86" s="68"/>
    </row>
    <row r="87" spans="5:12" ht="15.75" customHeight="1" x14ac:dyDescent="0.2">
      <c r="E87" s="68"/>
      <c r="F87" s="68"/>
      <c r="G87" s="68"/>
      <c r="H87" s="68"/>
      <c r="I87" s="68"/>
      <c r="J87" s="68"/>
      <c r="K87" s="68"/>
      <c r="L87" s="68"/>
    </row>
    <row r="88" spans="5:12" ht="15.75" customHeight="1" x14ac:dyDescent="0.2">
      <c r="E88" s="68"/>
      <c r="F88" s="68"/>
      <c r="G88" s="68"/>
      <c r="H88" s="68"/>
      <c r="I88" s="68"/>
      <c r="J88" s="68"/>
      <c r="K88" s="68"/>
      <c r="L88" s="68"/>
    </row>
    <row r="89" spans="5:12" ht="15.75" customHeight="1" x14ac:dyDescent="0.2">
      <c r="E89" s="68"/>
      <c r="F89" s="68"/>
      <c r="G89" s="68"/>
      <c r="H89" s="68"/>
      <c r="I89" s="68"/>
      <c r="J89" s="68"/>
      <c r="K89" s="68"/>
      <c r="L89" s="68"/>
    </row>
    <row r="90" spans="5:12" ht="15.75" customHeight="1" x14ac:dyDescent="0.2">
      <c r="E90" s="68"/>
      <c r="F90" s="68"/>
      <c r="G90" s="68"/>
      <c r="H90" s="68"/>
      <c r="I90" s="68"/>
      <c r="J90" s="68"/>
      <c r="K90" s="68"/>
      <c r="L90" s="68"/>
    </row>
    <row r="91" spans="5:12" ht="15.75" customHeight="1" x14ac:dyDescent="0.2">
      <c r="E91" s="68"/>
      <c r="F91" s="68"/>
      <c r="G91" s="68"/>
      <c r="H91" s="68"/>
      <c r="I91" s="68"/>
      <c r="J91" s="68"/>
      <c r="K91" s="68"/>
      <c r="L91" s="68"/>
    </row>
    <row r="92" spans="5:12" ht="15.75" customHeight="1" x14ac:dyDescent="0.2">
      <c r="E92" s="68"/>
      <c r="F92" s="68"/>
      <c r="G92" s="68"/>
      <c r="H92" s="68"/>
      <c r="I92" s="68"/>
      <c r="J92" s="68"/>
      <c r="K92" s="68"/>
      <c r="L92" s="68"/>
    </row>
    <row r="93" spans="5:12" ht="15.75" customHeight="1" x14ac:dyDescent="0.2">
      <c r="E93" s="68"/>
      <c r="F93" s="68"/>
      <c r="G93" s="68"/>
      <c r="H93" s="68"/>
      <c r="I93" s="68"/>
      <c r="J93" s="68"/>
      <c r="K93" s="68"/>
      <c r="L93" s="68"/>
    </row>
    <row r="94" spans="5:12" ht="15.75" customHeight="1" x14ac:dyDescent="0.2">
      <c r="E94" s="68"/>
      <c r="F94" s="68"/>
      <c r="G94" s="68"/>
      <c r="H94" s="68"/>
      <c r="I94" s="68"/>
      <c r="J94" s="68"/>
      <c r="K94" s="68"/>
      <c r="L94" s="68"/>
    </row>
    <row r="95" spans="5:12" ht="15.75" customHeight="1" x14ac:dyDescent="0.2">
      <c r="E95" s="68"/>
      <c r="F95" s="68"/>
      <c r="G95" s="68"/>
      <c r="H95" s="68"/>
      <c r="I95" s="68"/>
      <c r="J95" s="68"/>
      <c r="K95" s="68"/>
      <c r="L95" s="68"/>
    </row>
    <row r="96" spans="5:12" ht="15.75" customHeight="1" x14ac:dyDescent="0.2">
      <c r="E96" s="68"/>
      <c r="F96" s="68"/>
      <c r="G96" s="68"/>
      <c r="H96" s="68"/>
      <c r="I96" s="68"/>
      <c r="J96" s="68"/>
      <c r="K96" s="68"/>
      <c r="L96" s="68"/>
    </row>
    <row r="97" spans="5:12" ht="15.75" customHeight="1" x14ac:dyDescent="0.2">
      <c r="E97" s="68"/>
      <c r="F97" s="68"/>
      <c r="G97" s="68"/>
      <c r="H97" s="68"/>
      <c r="I97" s="68"/>
      <c r="J97" s="68"/>
      <c r="K97" s="68"/>
      <c r="L97" s="68"/>
    </row>
    <row r="98" spans="5:12" ht="15.75" customHeight="1" x14ac:dyDescent="0.2">
      <c r="E98" s="68"/>
      <c r="F98" s="68"/>
      <c r="G98" s="68"/>
      <c r="H98" s="68"/>
      <c r="I98" s="68"/>
      <c r="J98" s="68"/>
      <c r="K98" s="68"/>
      <c r="L98" s="68"/>
    </row>
    <row r="99" spans="5:12" ht="15.75" customHeight="1" x14ac:dyDescent="0.2">
      <c r="E99" s="68"/>
      <c r="F99" s="68"/>
      <c r="G99" s="68"/>
      <c r="H99" s="68"/>
      <c r="I99" s="68"/>
      <c r="J99" s="68"/>
      <c r="K99" s="68"/>
      <c r="L99" s="68"/>
    </row>
    <row r="100" spans="5:12" ht="15.75" customHeight="1" x14ac:dyDescent="0.2">
      <c r="E100" s="68"/>
      <c r="F100" s="68"/>
      <c r="G100" s="68"/>
      <c r="H100" s="68"/>
      <c r="I100" s="68"/>
      <c r="J100" s="68"/>
      <c r="K100" s="68"/>
      <c r="L100" s="68"/>
    </row>
    <row r="101" spans="5:12" ht="15.75" customHeight="1" x14ac:dyDescent="0.2">
      <c r="E101" s="68"/>
      <c r="F101" s="68"/>
      <c r="G101" s="68"/>
      <c r="H101" s="68"/>
      <c r="I101" s="68"/>
      <c r="J101" s="68"/>
      <c r="K101" s="68"/>
      <c r="L101" s="68"/>
    </row>
    <row r="102" spans="5:12" ht="15.75" customHeight="1" x14ac:dyDescent="0.2">
      <c r="E102" s="68"/>
      <c r="F102" s="68"/>
      <c r="G102" s="68"/>
      <c r="H102" s="68"/>
      <c r="I102" s="68"/>
      <c r="J102" s="68"/>
      <c r="K102" s="68"/>
      <c r="L102" s="68"/>
    </row>
    <row r="103" spans="5:12" ht="15.75" customHeight="1" x14ac:dyDescent="0.2">
      <c r="E103" s="68"/>
      <c r="F103" s="68"/>
      <c r="G103" s="68"/>
      <c r="H103" s="68"/>
      <c r="I103" s="68"/>
      <c r="J103" s="68"/>
      <c r="K103" s="68"/>
      <c r="L103" s="68"/>
    </row>
    <row r="104" spans="5:12" ht="15.75" customHeight="1" x14ac:dyDescent="0.2">
      <c r="E104" s="68"/>
      <c r="F104" s="68"/>
      <c r="G104" s="68"/>
      <c r="H104" s="68"/>
      <c r="I104" s="68"/>
      <c r="J104" s="68"/>
      <c r="K104" s="68"/>
      <c r="L104" s="68"/>
    </row>
    <row r="105" spans="5:12" ht="15.75" customHeight="1" x14ac:dyDescent="0.2">
      <c r="E105" s="68"/>
      <c r="F105" s="68"/>
      <c r="G105" s="68"/>
      <c r="H105" s="68"/>
      <c r="I105" s="68"/>
      <c r="J105" s="68"/>
      <c r="K105" s="68"/>
      <c r="L105" s="68"/>
    </row>
    <row r="106" spans="5:12" ht="15.75" customHeight="1" x14ac:dyDescent="0.2">
      <c r="E106" s="68"/>
      <c r="F106" s="68"/>
      <c r="G106" s="68"/>
      <c r="H106" s="68"/>
      <c r="I106" s="68"/>
      <c r="J106" s="68"/>
      <c r="K106" s="68"/>
      <c r="L106" s="68"/>
    </row>
    <row r="107" spans="5:12" ht="15.75" customHeight="1" x14ac:dyDescent="0.2">
      <c r="E107" s="68"/>
      <c r="F107" s="68"/>
      <c r="G107" s="68"/>
      <c r="H107" s="68"/>
      <c r="I107" s="68"/>
      <c r="J107" s="68"/>
      <c r="K107" s="68"/>
      <c r="L107" s="68"/>
    </row>
    <row r="108" spans="5:12" ht="15.75" customHeight="1" x14ac:dyDescent="0.2">
      <c r="E108" s="68"/>
      <c r="F108" s="68"/>
      <c r="G108" s="68"/>
      <c r="H108" s="68"/>
      <c r="I108" s="68"/>
      <c r="J108" s="68"/>
      <c r="K108" s="68"/>
      <c r="L108" s="68"/>
    </row>
    <row r="109" spans="5:12" ht="15.75" customHeight="1" x14ac:dyDescent="0.2">
      <c r="E109" s="68"/>
      <c r="F109" s="68"/>
      <c r="G109" s="68"/>
      <c r="H109" s="68"/>
      <c r="I109" s="68"/>
      <c r="J109" s="68"/>
      <c r="K109" s="68"/>
      <c r="L109" s="68"/>
    </row>
    <row r="110" spans="5:12" ht="15.75" customHeight="1" x14ac:dyDescent="0.2">
      <c r="E110" s="68"/>
      <c r="F110" s="68"/>
      <c r="G110" s="68"/>
      <c r="H110" s="68"/>
      <c r="I110" s="68"/>
      <c r="J110" s="68"/>
      <c r="K110" s="68"/>
      <c r="L110" s="68"/>
    </row>
    <row r="111" spans="5:12" ht="15.75" customHeight="1" x14ac:dyDescent="0.2">
      <c r="E111" s="68"/>
      <c r="F111" s="68"/>
      <c r="G111" s="68"/>
      <c r="H111" s="68"/>
      <c r="I111" s="68"/>
      <c r="J111" s="68"/>
      <c r="K111" s="68"/>
      <c r="L111" s="68"/>
    </row>
    <row r="112" spans="5:12" ht="15.75" customHeight="1" x14ac:dyDescent="0.2">
      <c r="E112" s="68"/>
      <c r="F112" s="68"/>
      <c r="G112" s="68"/>
      <c r="H112" s="68"/>
      <c r="I112" s="68"/>
      <c r="J112" s="68"/>
      <c r="K112" s="68"/>
      <c r="L112" s="68"/>
    </row>
    <row r="113" spans="5:12" ht="15.75" customHeight="1" x14ac:dyDescent="0.2">
      <c r="E113" s="68"/>
      <c r="F113" s="68"/>
      <c r="G113" s="68"/>
      <c r="H113" s="68"/>
      <c r="I113" s="68"/>
      <c r="J113" s="68"/>
      <c r="K113" s="68"/>
      <c r="L113" s="68"/>
    </row>
    <row r="114" spans="5:12" ht="15.75" customHeight="1" x14ac:dyDescent="0.2">
      <c r="E114" s="68"/>
      <c r="F114" s="68"/>
      <c r="G114" s="68"/>
      <c r="H114" s="68"/>
      <c r="I114" s="68"/>
      <c r="J114" s="68"/>
      <c r="K114" s="68"/>
      <c r="L114" s="68"/>
    </row>
    <row r="115" spans="5:12" ht="15.75" customHeight="1" x14ac:dyDescent="0.2">
      <c r="E115" s="68"/>
      <c r="F115" s="68"/>
      <c r="G115" s="68"/>
      <c r="H115" s="68"/>
      <c r="I115" s="68"/>
      <c r="J115" s="68"/>
      <c r="K115" s="68"/>
      <c r="L115" s="68"/>
    </row>
    <row r="116" spans="5:12" ht="15.75" customHeight="1" x14ac:dyDescent="0.2">
      <c r="E116" s="68"/>
      <c r="F116" s="68"/>
      <c r="G116" s="68"/>
      <c r="H116" s="68"/>
      <c r="I116" s="68"/>
      <c r="J116" s="68"/>
      <c r="K116" s="68"/>
      <c r="L116" s="68"/>
    </row>
    <row r="117" spans="5:12" ht="15.75" customHeight="1" x14ac:dyDescent="0.2">
      <c r="E117" s="68"/>
      <c r="F117" s="68"/>
      <c r="G117" s="68"/>
      <c r="H117" s="68"/>
      <c r="I117" s="68"/>
      <c r="J117" s="68"/>
      <c r="K117" s="68"/>
      <c r="L117" s="68"/>
    </row>
    <row r="118" spans="5:12" ht="15.75" customHeight="1" x14ac:dyDescent="0.2">
      <c r="E118" s="68"/>
      <c r="F118" s="68"/>
      <c r="G118" s="68"/>
      <c r="H118" s="68"/>
      <c r="I118" s="68"/>
      <c r="J118" s="68"/>
      <c r="K118" s="68"/>
      <c r="L118" s="68"/>
    </row>
    <row r="119" spans="5:12" ht="15.75" customHeight="1" x14ac:dyDescent="0.2">
      <c r="E119" s="68"/>
      <c r="F119" s="68"/>
      <c r="G119" s="68"/>
      <c r="H119" s="68"/>
      <c r="I119" s="68"/>
      <c r="J119" s="68"/>
      <c r="K119" s="68"/>
      <c r="L119" s="68"/>
    </row>
    <row r="120" spans="5:12" ht="15.75" customHeight="1" x14ac:dyDescent="0.2">
      <c r="E120" s="68"/>
      <c r="F120" s="68"/>
      <c r="G120" s="68"/>
      <c r="H120" s="68"/>
      <c r="I120" s="68"/>
      <c r="J120" s="68"/>
      <c r="K120" s="68"/>
      <c r="L120" s="68"/>
    </row>
    <row r="121" spans="5:12" ht="15.75" customHeight="1" x14ac:dyDescent="0.2">
      <c r="E121" s="68"/>
      <c r="F121" s="68"/>
      <c r="G121" s="68"/>
      <c r="H121" s="68"/>
      <c r="I121" s="68"/>
      <c r="J121" s="68"/>
      <c r="K121" s="68"/>
      <c r="L121" s="68"/>
    </row>
    <row r="122" spans="5:12" ht="15.75" customHeight="1" x14ac:dyDescent="0.2">
      <c r="E122" s="68"/>
      <c r="F122" s="68"/>
      <c r="G122" s="68"/>
      <c r="H122" s="68"/>
      <c r="I122" s="68"/>
      <c r="J122" s="68"/>
      <c r="K122" s="68"/>
      <c r="L122" s="68"/>
    </row>
    <row r="123" spans="5:12" ht="15.75" customHeight="1" x14ac:dyDescent="0.2">
      <c r="E123" s="68"/>
      <c r="F123" s="68"/>
      <c r="G123" s="68"/>
      <c r="H123" s="68"/>
      <c r="I123" s="68"/>
      <c r="J123" s="68"/>
      <c r="K123" s="68"/>
      <c r="L123" s="68"/>
    </row>
    <row r="124" spans="5:12" ht="15.75" customHeight="1" x14ac:dyDescent="0.2">
      <c r="E124" s="68"/>
      <c r="F124" s="68"/>
      <c r="G124" s="68"/>
      <c r="H124" s="68"/>
      <c r="I124" s="68"/>
      <c r="J124" s="68"/>
      <c r="K124" s="68"/>
      <c r="L124" s="68"/>
    </row>
    <row r="125" spans="5:12" ht="15.75" customHeight="1" x14ac:dyDescent="0.2">
      <c r="E125" s="68"/>
      <c r="F125" s="68"/>
      <c r="G125" s="68"/>
      <c r="H125" s="68"/>
      <c r="I125" s="68"/>
      <c r="J125" s="68"/>
      <c r="K125" s="68"/>
      <c r="L125" s="68"/>
    </row>
    <row r="126" spans="5:12" ht="15.75" customHeight="1" x14ac:dyDescent="0.2">
      <c r="E126" s="68"/>
      <c r="F126" s="68"/>
      <c r="G126" s="68"/>
      <c r="H126" s="68"/>
      <c r="I126" s="68"/>
      <c r="J126" s="68"/>
      <c r="K126" s="68"/>
      <c r="L126" s="68"/>
    </row>
    <row r="127" spans="5:12" ht="15.75" customHeight="1" x14ac:dyDescent="0.2">
      <c r="E127" s="68"/>
      <c r="F127" s="68"/>
      <c r="G127" s="68"/>
      <c r="H127" s="68"/>
      <c r="I127" s="68"/>
      <c r="J127" s="68"/>
      <c r="K127" s="68"/>
      <c r="L127" s="68"/>
    </row>
    <row r="128" spans="5:12" ht="15.75" customHeight="1" x14ac:dyDescent="0.2">
      <c r="E128" s="68"/>
      <c r="F128" s="68"/>
      <c r="G128" s="68"/>
      <c r="H128" s="68"/>
      <c r="I128" s="68"/>
      <c r="J128" s="68"/>
      <c r="K128" s="68"/>
      <c r="L128" s="68"/>
    </row>
    <row r="129" spans="5:12" ht="15.75" customHeight="1" x14ac:dyDescent="0.2">
      <c r="E129" s="68"/>
      <c r="F129" s="68"/>
      <c r="G129" s="68"/>
      <c r="H129" s="68"/>
      <c r="I129" s="68"/>
      <c r="J129" s="68"/>
      <c r="K129" s="68"/>
      <c r="L129" s="68"/>
    </row>
    <row r="130" spans="5:12" ht="15.75" customHeight="1" x14ac:dyDescent="0.2">
      <c r="E130" s="68"/>
      <c r="F130" s="68"/>
      <c r="G130" s="68"/>
      <c r="H130" s="68"/>
      <c r="I130" s="68"/>
      <c r="J130" s="68"/>
      <c r="K130" s="68"/>
      <c r="L130" s="68"/>
    </row>
    <row r="131" spans="5:12" ht="15.75" customHeight="1" x14ac:dyDescent="0.2">
      <c r="E131" s="68"/>
      <c r="F131" s="68"/>
      <c r="G131" s="68"/>
      <c r="H131" s="68"/>
      <c r="I131" s="68"/>
      <c r="J131" s="68"/>
      <c r="K131" s="68"/>
      <c r="L131" s="68"/>
    </row>
    <row r="132" spans="5:12" ht="15.75" customHeight="1" x14ac:dyDescent="0.2">
      <c r="E132" s="68"/>
      <c r="F132" s="68"/>
      <c r="G132" s="68"/>
      <c r="H132" s="68"/>
      <c r="I132" s="68"/>
      <c r="J132" s="68"/>
      <c r="K132" s="68"/>
      <c r="L132" s="68"/>
    </row>
    <row r="133" spans="5:12" ht="15.75" customHeight="1" x14ac:dyDescent="0.2">
      <c r="E133" s="68"/>
      <c r="F133" s="68"/>
      <c r="G133" s="68"/>
      <c r="H133" s="68"/>
      <c r="I133" s="68"/>
      <c r="J133" s="68"/>
      <c r="K133" s="68"/>
      <c r="L133" s="68"/>
    </row>
    <row r="134" spans="5:12" ht="15.75" customHeight="1" x14ac:dyDescent="0.2">
      <c r="E134" s="68"/>
      <c r="F134" s="68"/>
      <c r="G134" s="68"/>
      <c r="H134" s="68"/>
      <c r="I134" s="68"/>
      <c r="J134" s="68"/>
      <c r="K134" s="68"/>
      <c r="L134" s="68"/>
    </row>
    <row r="135" spans="5:12" ht="15.75" customHeight="1" x14ac:dyDescent="0.2">
      <c r="E135" s="68"/>
      <c r="F135" s="68"/>
      <c r="G135" s="68"/>
      <c r="H135" s="68"/>
      <c r="I135" s="68"/>
      <c r="J135" s="68"/>
      <c r="K135" s="68"/>
      <c r="L135" s="68"/>
    </row>
    <row r="136" spans="5:12" ht="15.75" customHeight="1" x14ac:dyDescent="0.2">
      <c r="E136" s="68"/>
      <c r="F136" s="68"/>
      <c r="G136" s="68"/>
      <c r="H136" s="68"/>
      <c r="I136" s="68"/>
      <c r="J136" s="68"/>
      <c r="K136" s="68"/>
      <c r="L136" s="68"/>
    </row>
    <row r="137" spans="5:12" ht="15.75" customHeight="1" x14ac:dyDescent="0.2">
      <c r="E137" s="68"/>
      <c r="F137" s="68"/>
      <c r="G137" s="68"/>
      <c r="H137" s="68"/>
      <c r="I137" s="68"/>
      <c r="J137" s="68"/>
      <c r="K137" s="68"/>
      <c r="L137" s="68"/>
    </row>
    <row r="138" spans="5:12" ht="15.75" customHeight="1" x14ac:dyDescent="0.2">
      <c r="E138" s="68"/>
      <c r="F138" s="68"/>
      <c r="G138" s="68"/>
      <c r="H138" s="68"/>
      <c r="I138" s="68"/>
      <c r="J138" s="68"/>
      <c r="K138" s="68"/>
      <c r="L138" s="68"/>
    </row>
    <row r="139" spans="5:12" ht="15.75" customHeight="1" x14ac:dyDescent="0.2">
      <c r="E139" s="68"/>
      <c r="F139" s="68"/>
      <c r="G139" s="68"/>
      <c r="H139" s="68"/>
      <c r="I139" s="68"/>
      <c r="J139" s="68"/>
      <c r="K139" s="68"/>
      <c r="L139" s="68"/>
    </row>
    <row r="140" spans="5:12" ht="15.75" customHeight="1" x14ac:dyDescent="0.2">
      <c r="E140" s="68"/>
      <c r="F140" s="68"/>
      <c r="G140" s="68"/>
      <c r="H140" s="68"/>
      <c r="I140" s="68"/>
      <c r="J140" s="68"/>
      <c r="K140" s="68"/>
      <c r="L140" s="68"/>
    </row>
    <row r="141" spans="5:12" ht="15.75" customHeight="1" x14ac:dyDescent="0.2">
      <c r="E141" s="68"/>
      <c r="F141" s="68"/>
      <c r="G141" s="68"/>
      <c r="H141" s="68"/>
      <c r="I141" s="68"/>
      <c r="J141" s="68"/>
      <c r="K141" s="68"/>
      <c r="L141" s="68"/>
    </row>
    <row r="142" spans="5:12" ht="15.75" customHeight="1" x14ac:dyDescent="0.2">
      <c r="E142" s="68"/>
      <c r="F142" s="68"/>
      <c r="G142" s="68"/>
      <c r="H142" s="68"/>
      <c r="I142" s="68"/>
      <c r="J142" s="68"/>
      <c r="K142" s="68"/>
      <c r="L142" s="68"/>
    </row>
    <row r="143" spans="5:12" ht="15.75" customHeight="1" x14ac:dyDescent="0.2">
      <c r="E143" s="68"/>
      <c r="F143" s="68"/>
      <c r="G143" s="68"/>
      <c r="H143" s="68"/>
      <c r="I143" s="68"/>
      <c r="J143" s="68"/>
      <c r="K143" s="68"/>
      <c r="L143" s="68"/>
    </row>
    <row r="144" spans="5:12" ht="15.75" customHeight="1" x14ac:dyDescent="0.2">
      <c r="E144" s="68"/>
      <c r="F144" s="68"/>
      <c r="G144" s="68"/>
      <c r="H144" s="68"/>
      <c r="I144" s="68"/>
      <c r="J144" s="68"/>
      <c r="K144" s="68"/>
      <c r="L144" s="68"/>
    </row>
    <row r="145" spans="5:12" ht="15.75" customHeight="1" x14ac:dyDescent="0.2">
      <c r="E145" s="68"/>
      <c r="F145" s="68"/>
      <c r="G145" s="68"/>
      <c r="H145" s="68"/>
      <c r="I145" s="68"/>
      <c r="J145" s="68"/>
      <c r="K145" s="68"/>
      <c r="L145" s="68"/>
    </row>
    <row r="146" spans="5:12" ht="15.75" customHeight="1" x14ac:dyDescent="0.2">
      <c r="E146" s="68"/>
      <c r="F146" s="68"/>
      <c r="G146" s="68"/>
      <c r="H146" s="68"/>
      <c r="I146" s="68"/>
      <c r="J146" s="68"/>
      <c r="K146" s="68"/>
      <c r="L146" s="68"/>
    </row>
    <row r="147" spans="5:12" ht="15.75" customHeight="1" x14ac:dyDescent="0.2">
      <c r="E147" s="68"/>
      <c r="F147" s="68"/>
      <c r="G147" s="68"/>
      <c r="H147" s="68"/>
      <c r="I147" s="68"/>
      <c r="J147" s="68"/>
      <c r="K147" s="68"/>
      <c r="L147" s="68"/>
    </row>
    <row r="148" spans="5:12" ht="15.75" customHeight="1" x14ac:dyDescent="0.2">
      <c r="E148" s="68"/>
      <c r="F148" s="68"/>
      <c r="G148" s="68"/>
      <c r="H148" s="68"/>
      <c r="I148" s="68"/>
      <c r="J148" s="68"/>
      <c r="K148" s="68"/>
      <c r="L148" s="68"/>
    </row>
    <row r="149" spans="5:12" ht="15.75" customHeight="1" x14ac:dyDescent="0.2">
      <c r="E149" s="68"/>
      <c r="F149" s="68"/>
      <c r="G149" s="68"/>
      <c r="H149" s="68"/>
      <c r="I149" s="68"/>
      <c r="J149" s="68"/>
      <c r="K149" s="68"/>
      <c r="L149" s="68"/>
    </row>
    <row r="150" spans="5:12" ht="15.75" customHeight="1" x14ac:dyDescent="0.2">
      <c r="E150" s="68"/>
      <c r="F150" s="68"/>
      <c r="G150" s="68"/>
      <c r="H150" s="68"/>
      <c r="I150" s="68"/>
      <c r="J150" s="68"/>
      <c r="K150" s="68"/>
      <c r="L150" s="68"/>
    </row>
    <row r="151" spans="5:12" ht="15.75" customHeight="1" x14ac:dyDescent="0.2">
      <c r="E151" s="68"/>
      <c r="F151" s="68"/>
      <c r="G151" s="68"/>
      <c r="H151" s="68"/>
      <c r="I151" s="68"/>
      <c r="J151" s="68"/>
      <c r="K151" s="68"/>
      <c r="L151" s="68"/>
    </row>
    <row r="152" spans="5:12" ht="15.75" customHeight="1" x14ac:dyDescent="0.2">
      <c r="E152" s="68"/>
      <c r="F152" s="68"/>
      <c r="G152" s="68"/>
      <c r="H152" s="68"/>
      <c r="I152" s="68"/>
      <c r="J152" s="68"/>
      <c r="K152" s="68"/>
      <c r="L152" s="68"/>
    </row>
    <row r="153" spans="5:12" ht="15.75" customHeight="1" x14ac:dyDescent="0.2">
      <c r="E153" s="68"/>
      <c r="F153" s="68"/>
      <c r="G153" s="68"/>
      <c r="H153" s="68"/>
      <c r="I153" s="68"/>
      <c r="J153" s="68"/>
      <c r="K153" s="68"/>
      <c r="L153" s="68"/>
    </row>
    <row r="154" spans="5:12" ht="15.75" customHeight="1" x14ac:dyDescent="0.2">
      <c r="E154" s="68"/>
      <c r="F154" s="68"/>
      <c r="G154" s="68"/>
      <c r="H154" s="68"/>
      <c r="I154" s="68"/>
      <c r="J154" s="68"/>
      <c r="K154" s="68"/>
      <c r="L154" s="68"/>
    </row>
    <row r="155" spans="5:12" ht="15.75" customHeight="1" x14ac:dyDescent="0.2">
      <c r="E155" s="68"/>
      <c r="F155" s="68"/>
      <c r="G155" s="68"/>
      <c r="H155" s="68"/>
      <c r="I155" s="68"/>
      <c r="J155" s="68"/>
      <c r="K155" s="68"/>
      <c r="L155" s="68"/>
    </row>
    <row r="156" spans="5:12" ht="15.75" customHeight="1" x14ac:dyDescent="0.2">
      <c r="E156" s="68"/>
      <c r="F156" s="68"/>
      <c r="G156" s="68"/>
      <c r="H156" s="68"/>
      <c r="I156" s="68"/>
      <c r="J156" s="68"/>
      <c r="K156" s="68"/>
      <c r="L156" s="68"/>
    </row>
    <row r="157" spans="5:12" ht="15.75" customHeight="1" x14ac:dyDescent="0.2">
      <c r="E157" s="68"/>
      <c r="F157" s="68"/>
      <c r="G157" s="68"/>
      <c r="H157" s="68"/>
      <c r="I157" s="68"/>
      <c r="J157" s="68"/>
      <c r="K157" s="68"/>
      <c r="L157" s="68"/>
    </row>
    <row r="158" spans="5:12" ht="15.75" customHeight="1" x14ac:dyDescent="0.2">
      <c r="E158" s="68"/>
      <c r="F158" s="68"/>
      <c r="G158" s="68"/>
      <c r="H158" s="68"/>
      <c r="I158" s="68"/>
      <c r="J158" s="68"/>
      <c r="K158" s="68"/>
      <c r="L158" s="68"/>
    </row>
    <row r="159" spans="5:12" ht="15.75" customHeight="1" x14ac:dyDescent="0.2">
      <c r="E159" s="68"/>
      <c r="F159" s="68"/>
      <c r="G159" s="68"/>
      <c r="H159" s="68"/>
      <c r="I159" s="68"/>
      <c r="J159" s="68"/>
      <c r="K159" s="68"/>
      <c r="L159" s="68"/>
    </row>
    <row r="160" spans="5:12" ht="15.75" customHeight="1" x14ac:dyDescent="0.2">
      <c r="E160" s="68"/>
      <c r="F160" s="68"/>
      <c r="G160" s="68"/>
      <c r="H160" s="68"/>
      <c r="I160" s="68"/>
      <c r="J160" s="68"/>
      <c r="K160" s="68"/>
      <c r="L160" s="68"/>
    </row>
    <row r="161" spans="5:12" ht="15.75" customHeight="1" x14ac:dyDescent="0.2">
      <c r="E161" s="68"/>
      <c r="F161" s="68"/>
      <c r="G161" s="68"/>
      <c r="H161" s="68"/>
      <c r="I161" s="68"/>
      <c r="J161" s="68"/>
      <c r="K161" s="68"/>
      <c r="L161" s="68"/>
    </row>
    <row r="162" spans="5:12" ht="15.75" customHeight="1" x14ac:dyDescent="0.2">
      <c r="E162" s="68"/>
      <c r="F162" s="68"/>
      <c r="G162" s="68"/>
      <c r="H162" s="68"/>
      <c r="I162" s="68"/>
      <c r="J162" s="68"/>
      <c r="K162" s="68"/>
      <c r="L162" s="68"/>
    </row>
    <row r="163" spans="5:12" ht="15.75" customHeight="1" x14ac:dyDescent="0.2">
      <c r="E163" s="68"/>
      <c r="F163" s="68"/>
      <c r="G163" s="68"/>
      <c r="H163" s="68"/>
      <c r="I163" s="68"/>
      <c r="J163" s="68"/>
      <c r="K163" s="68"/>
      <c r="L163" s="68"/>
    </row>
    <row r="164" spans="5:12" ht="15.75" customHeight="1" x14ac:dyDescent="0.2">
      <c r="E164" s="68"/>
      <c r="F164" s="68"/>
      <c r="G164" s="68"/>
      <c r="H164" s="68"/>
      <c r="I164" s="68"/>
      <c r="J164" s="68"/>
      <c r="K164" s="68"/>
      <c r="L164" s="68"/>
    </row>
    <row r="165" spans="5:12" ht="15.75" customHeight="1" x14ac:dyDescent="0.2">
      <c r="E165" s="68"/>
      <c r="F165" s="68"/>
      <c r="G165" s="68"/>
      <c r="H165" s="68"/>
      <c r="I165" s="68"/>
      <c r="J165" s="68"/>
      <c r="K165" s="68"/>
      <c r="L165" s="68"/>
    </row>
    <row r="166" spans="5:12" ht="15.75" customHeight="1" x14ac:dyDescent="0.2">
      <c r="E166" s="68"/>
      <c r="F166" s="68"/>
      <c r="G166" s="68"/>
      <c r="H166" s="68"/>
      <c r="I166" s="68"/>
      <c r="J166" s="68"/>
      <c r="K166" s="68"/>
      <c r="L166" s="68"/>
    </row>
    <row r="167" spans="5:12" ht="15.75" customHeight="1" x14ac:dyDescent="0.2">
      <c r="E167" s="68"/>
      <c r="F167" s="68"/>
      <c r="G167" s="68"/>
      <c r="H167" s="68"/>
      <c r="I167" s="68"/>
      <c r="J167" s="68"/>
      <c r="K167" s="68"/>
      <c r="L167" s="68"/>
    </row>
    <row r="168" spans="5:12" ht="15.75" customHeight="1" x14ac:dyDescent="0.2">
      <c r="E168" s="68"/>
      <c r="F168" s="68"/>
      <c r="G168" s="68"/>
      <c r="H168" s="68"/>
      <c r="I168" s="68"/>
      <c r="J168" s="68"/>
      <c r="K168" s="68"/>
      <c r="L168" s="68"/>
    </row>
    <row r="169" spans="5:12" ht="15.75" customHeight="1" x14ac:dyDescent="0.2">
      <c r="E169" s="68"/>
      <c r="F169" s="68"/>
      <c r="G169" s="68"/>
      <c r="H169" s="68"/>
      <c r="I169" s="68"/>
      <c r="J169" s="68"/>
      <c r="K169" s="68"/>
      <c r="L169" s="68"/>
    </row>
    <row r="170" spans="5:12" ht="15.75" customHeight="1" x14ac:dyDescent="0.2">
      <c r="E170" s="68"/>
      <c r="F170" s="68"/>
      <c r="G170" s="68"/>
      <c r="H170" s="68"/>
      <c r="I170" s="68"/>
      <c r="J170" s="68"/>
      <c r="K170" s="68"/>
      <c r="L170" s="68"/>
    </row>
    <row r="171" spans="5:12" ht="15.75" customHeight="1" x14ac:dyDescent="0.2">
      <c r="E171" s="68"/>
      <c r="F171" s="68"/>
      <c r="G171" s="68"/>
      <c r="H171" s="68"/>
      <c r="I171" s="68"/>
      <c r="J171" s="68"/>
      <c r="K171" s="68"/>
      <c r="L171" s="68"/>
    </row>
    <row r="172" spans="5:12" ht="15.75" customHeight="1" x14ac:dyDescent="0.2">
      <c r="E172" s="68"/>
      <c r="F172" s="68"/>
      <c r="G172" s="68"/>
      <c r="H172" s="68"/>
      <c r="I172" s="68"/>
      <c r="J172" s="68"/>
      <c r="K172" s="68"/>
      <c r="L172" s="68"/>
    </row>
    <row r="173" spans="5:12" ht="15.75" customHeight="1" x14ac:dyDescent="0.2">
      <c r="E173" s="68"/>
      <c r="F173" s="68"/>
      <c r="G173" s="68"/>
      <c r="H173" s="68"/>
      <c r="I173" s="68"/>
      <c r="J173" s="68"/>
      <c r="K173" s="68"/>
      <c r="L173" s="68"/>
    </row>
    <row r="174" spans="5:12" ht="15.75" customHeight="1" x14ac:dyDescent="0.2">
      <c r="E174" s="68"/>
      <c r="F174" s="68"/>
      <c r="G174" s="68"/>
      <c r="H174" s="68"/>
      <c r="I174" s="68"/>
      <c r="J174" s="68"/>
      <c r="K174" s="68"/>
      <c r="L174" s="68"/>
    </row>
    <row r="175" spans="5:12" ht="15.75" customHeight="1" x14ac:dyDescent="0.2">
      <c r="E175" s="68"/>
      <c r="F175" s="68"/>
      <c r="G175" s="68"/>
      <c r="H175" s="68"/>
      <c r="I175" s="68"/>
      <c r="J175" s="68"/>
      <c r="K175" s="68"/>
      <c r="L175" s="68"/>
    </row>
    <row r="176" spans="5:12" ht="15.75" customHeight="1" x14ac:dyDescent="0.2">
      <c r="E176" s="68"/>
      <c r="F176" s="68"/>
      <c r="G176" s="68"/>
      <c r="H176" s="68"/>
      <c r="I176" s="68"/>
      <c r="J176" s="68"/>
      <c r="K176" s="68"/>
      <c r="L176" s="68"/>
    </row>
    <row r="177" spans="5:12" ht="15.75" customHeight="1" x14ac:dyDescent="0.2">
      <c r="E177" s="68"/>
      <c r="F177" s="68"/>
      <c r="G177" s="68"/>
      <c r="H177" s="68"/>
      <c r="I177" s="68"/>
      <c r="J177" s="68"/>
      <c r="K177" s="68"/>
      <c r="L177" s="68"/>
    </row>
    <row r="178" spans="5:12" ht="15.75" customHeight="1" x14ac:dyDescent="0.2">
      <c r="E178" s="68"/>
      <c r="F178" s="68"/>
      <c r="G178" s="68"/>
      <c r="H178" s="68"/>
      <c r="I178" s="68"/>
      <c r="J178" s="68"/>
      <c r="K178" s="68"/>
      <c r="L178" s="68"/>
    </row>
    <row r="179" spans="5:12" ht="15.75" customHeight="1" x14ac:dyDescent="0.2">
      <c r="E179" s="68"/>
      <c r="F179" s="68"/>
      <c r="G179" s="68"/>
      <c r="H179" s="68"/>
      <c r="I179" s="68"/>
      <c r="J179" s="68"/>
      <c r="K179" s="68"/>
      <c r="L179" s="68"/>
    </row>
    <row r="180" spans="5:12" ht="15.75" customHeight="1" x14ac:dyDescent="0.2">
      <c r="E180" s="68"/>
      <c r="F180" s="68"/>
      <c r="G180" s="68"/>
      <c r="H180" s="68"/>
      <c r="I180" s="68"/>
      <c r="J180" s="68"/>
      <c r="K180" s="68"/>
      <c r="L180" s="68"/>
    </row>
    <row r="181" spans="5:12" ht="15.75" customHeight="1" x14ac:dyDescent="0.2">
      <c r="E181" s="68"/>
      <c r="F181" s="68"/>
      <c r="G181" s="68"/>
      <c r="H181" s="68"/>
      <c r="I181" s="68"/>
      <c r="J181" s="68"/>
      <c r="K181" s="68"/>
      <c r="L181" s="68"/>
    </row>
    <row r="182" spans="5:12" ht="15.75" customHeight="1" x14ac:dyDescent="0.2">
      <c r="E182" s="68"/>
      <c r="F182" s="68"/>
      <c r="G182" s="68"/>
      <c r="H182" s="68"/>
      <c r="I182" s="68"/>
      <c r="J182" s="68"/>
      <c r="K182" s="68"/>
      <c r="L182" s="68"/>
    </row>
    <row r="183" spans="5:12" ht="15.75" customHeight="1" x14ac:dyDescent="0.2">
      <c r="E183" s="68"/>
      <c r="F183" s="68"/>
      <c r="G183" s="68"/>
      <c r="H183" s="68"/>
      <c r="I183" s="68"/>
      <c r="J183" s="68"/>
      <c r="K183" s="68"/>
      <c r="L183" s="68"/>
    </row>
    <row r="184" spans="5:12" ht="15.75" customHeight="1" x14ac:dyDescent="0.2">
      <c r="E184" s="68"/>
      <c r="F184" s="68"/>
      <c r="G184" s="68"/>
      <c r="H184" s="68"/>
      <c r="I184" s="68"/>
      <c r="J184" s="68"/>
      <c r="K184" s="68"/>
      <c r="L184" s="68"/>
    </row>
    <row r="185" spans="5:12" ht="15.75" customHeight="1" x14ac:dyDescent="0.2">
      <c r="E185" s="68"/>
      <c r="F185" s="68"/>
      <c r="G185" s="68"/>
      <c r="H185" s="68"/>
      <c r="I185" s="68"/>
      <c r="J185" s="68"/>
      <c r="K185" s="68"/>
      <c r="L185" s="68"/>
    </row>
    <row r="186" spans="5:12" ht="15.75" customHeight="1" x14ac:dyDescent="0.2">
      <c r="E186" s="68"/>
      <c r="F186" s="68"/>
      <c r="G186" s="68"/>
      <c r="H186" s="68"/>
      <c r="I186" s="68"/>
      <c r="J186" s="68"/>
      <c r="K186" s="68"/>
      <c r="L186" s="68"/>
    </row>
    <row r="187" spans="5:12" ht="15.75" customHeight="1" x14ac:dyDescent="0.2">
      <c r="E187" s="68"/>
      <c r="F187" s="68"/>
      <c r="G187" s="68"/>
      <c r="H187" s="68"/>
      <c r="I187" s="68"/>
      <c r="J187" s="68"/>
      <c r="K187" s="68"/>
      <c r="L187" s="68"/>
    </row>
    <row r="188" spans="5:12" ht="15.75" customHeight="1" x14ac:dyDescent="0.2">
      <c r="E188" s="68"/>
      <c r="F188" s="68"/>
      <c r="G188" s="68"/>
      <c r="H188" s="68"/>
      <c r="I188" s="68"/>
      <c r="J188" s="68"/>
      <c r="K188" s="68"/>
      <c r="L188" s="68"/>
    </row>
    <row r="189" spans="5:12" ht="15.75" customHeight="1" x14ac:dyDescent="0.2">
      <c r="E189" s="68"/>
      <c r="F189" s="68"/>
      <c r="G189" s="68"/>
      <c r="H189" s="68"/>
      <c r="I189" s="68"/>
      <c r="J189" s="68"/>
      <c r="K189" s="68"/>
      <c r="L189" s="68"/>
    </row>
    <row r="190" spans="5:12" ht="15.75" customHeight="1" x14ac:dyDescent="0.2">
      <c r="E190" s="68"/>
      <c r="F190" s="68"/>
      <c r="G190" s="68"/>
      <c r="H190" s="68"/>
      <c r="I190" s="68"/>
      <c r="J190" s="68"/>
      <c r="K190" s="68"/>
      <c r="L190" s="68"/>
    </row>
    <row r="191" spans="5:12" ht="15.75" customHeight="1" x14ac:dyDescent="0.2">
      <c r="E191" s="68"/>
      <c r="F191" s="68"/>
      <c r="G191" s="68"/>
      <c r="H191" s="68"/>
      <c r="I191" s="68"/>
      <c r="J191" s="68"/>
      <c r="K191" s="68"/>
      <c r="L191" s="68"/>
    </row>
    <row r="192" spans="5:12" ht="15.75" customHeight="1" x14ac:dyDescent="0.2">
      <c r="E192" s="68"/>
      <c r="F192" s="68"/>
      <c r="G192" s="68"/>
      <c r="H192" s="68"/>
      <c r="I192" s="68"/>
      <c r="J192" s="68"/>
      <c r="K192" s="68"/>
      <c r="L192" s="68"/>
    </row>
    <row r="193" spans="5:12" ht="15.75" customHeight="1" x14ac:dyDescent="0.2">
      <c r="E193" s="68"/>
      <c r="F193" s="68"/>
      <c r="G193" s="68"/>
      <c r="H193" s="68"/>
      <c r="I193" s="68"/>
      <c r="J193" s="68"/>
      <c r="K193" s="68"/>
      <c r="L193" s="68"/>
    </row>
    <row r="194" spans="5:12" ht="15.75" customHeight="1" x14ac:dyDescent="0.2">
      <c r="E194" s="68"/>
      <c r="F194" s="68"/>
      <c r="G194" s="68"/>
      <c r="H194" s="68"/>
      <c r="I194" s="68"/>
      <c r="J194" s="68"/>
      <c r="K194" s="68"/>
      <c r="L194" s="68"/>
    </row>
    <row r="195" spans="5:12" ht="15.75" customHeight="1" x14ac:dyDescent="0.2">
      <c r="E195" s="68"/>
      <c r="F195" s="68"/>
      <c r="G195" s="68"/>
      <c r="H195" s="68"/>
      <c r="I195" s="68"/>
      <c r="J195" s="68"/>
      <c r="K195" s="68"/>
      <c r="L195" s="68"/>
    </row>
    <row r="196" spans="5:12" ht="15.75" customHeight="1" x14ac:dyDescent="0.2">
      <c r="E196" s="68"/>
      <c r="F196" s="68"/>
      <c r="G196" s="68"/>
      <c r="H196" s="68"/>
      <c r="I196" s="68"/>
      <c r="J196" s="68"/>
      <c r="K196" s="68"/>
      <c r="L196" s="68"/>
    </row>
    <row r="197" spans="5:12" ht="15.75" customHeight="1" x14ac:dyDescent="0.2">
      <c r="E197" s="68"/>
      <c r="F197" s="68"/>
      <c r="G197" s="68"/>
      <c r="H197" s="68"/>
      <c r="I197" s="68"/>
      <c r="J197" s="68"/>
      <c r="K197" s="68"/>
      <c r="L197" s="68"/>
    </row>
    <row r="198" spans="5:12" ht="15.75" customHeight="1" x14ac:dyDescent="0.2">
      <c r="E198" s="68"/>
      <c r="F198" s="68"/>
      <c r="G198" s="68"/>
      <c r="H198" s="68"/>
      <c r="I198" s="68"/>
      <c r="J198" s="68"/>
      <c r="K198" s="68"/>
      <c r="L198" s="68"/>
    </row>
    <row r="199" spans="5:12" ht="15.75" customHeight="1" x14ac:dyDescent="0.2">
      <c r="E199" s="68"/>
      <c r="F199" s="68"/>
      <c r="G199" s="68"/>
      <c r="H199" s="68"/>
      <c r="I199" s="68"/>
      <c r="J199" s="68"/>
      <c r="K199" s="68"/>
      <c r="L199" s="68"/>
    </row>
    <row r="200" spans="5:12" ht="15.75" customHeight="1" x14ac:dyDescent="0.2">
      <c r="E200" s="68"/>
      <c r="F200" s="68"/>
      <c r="G200" s="68"/>
      <c r="H200" s="68"/>
      <c r="I200" s="68"/>
      <c r="J200" s="68"/>
      <c r="K200" s="68"/>
      <c r="L200" s="68"/>
    </row>
    <row r="201" spans="5:12" ht="15.75" customHeight="1" x14ac:dyDescent="0.2">
      <c r="E201" s="68"/>
      <c r="F201" s="68"/>
      <c r="G201" s="68"/>
      <c r="H201" s="68"/>
      <c r="I201" s="68"/>
      <c r="J201" s="68"/>
      <c r="K201" s="68"/>
      <c r="L201" s="68"/>
    </row>
    <row r="202" spans="5:12" ht="15.75" customHeight="1" x14ac:dyDescent="0.2">
      <c r="E202" s="68"/>
      <c r="F202" s="68"/>
      <c r="G202" s="68"/>
      <c r="H202" s="68"/>
      <c r="I202" s="68"/>
      <c r="J202" s="68"/>
      <c r="K202" s="68"/>
      <c r="L202" s="68"/>
    </row>
    <row r="203" spans="5:12" ht="15.75" customHeight="1" x14ac:dyDescent="0.2">
      <c r="E203" s="68"/>
      <c r="F203" s="68"/>
      <c r="G203" s="68"/>
      <c r="H203" s="68"/>
      <c r="I203" s="68"/>
      <c r="J203" s="68"/>
      <c r="K203" s="68"/>
      <c r="L203" s="68"/>
    </row>
    <row r="204" spans="5:12" ht="15.75" customHeight="1" x14ac:dyDescent="0.2">
      <c r="E204" s="68"/>
      <c r="F204" s="68"/>
      <c r="G204" s="68"/>
      <c r="H204" s="68"/>
      <c r="I204" s="68"/>
      <c r="J204" s="68"/>
      <c r="K204" s="68"/>
      <c r="L204" s="68"/>
    </row>
    <row r="205" spans="5:12" ht="15.75" customHeight="1" x14ac:dyDescent="0.2">
      <c r="E205" s="68"/>
      <c r="F205" s="68"/>
      <c r="G205" s="68"/>
      <c r="H205" s="68"/>
      <c r="I205" s="68"/>
      <c r="J205" s="68"/>
      <c r="K205" s="68"/>
      <c r="L205" s="68"/>
    </row>
    <row r="206" spans="5:12" ht="15.75" customHeight="1" x14ac:dyDescent="0.2">
      <c r="E206" s="68"/>
      <c r="F206" s="68"/>
      <c r="G206" s="68"/>
      <c r="H206" s="68"/>
      <c r="I206" s="68"/>
      <c r="J206" s="68"/>
      <c r="K206" s="68"/>
      <c r="L206" s="68"/>
    </row>
    <row r="207" spans="5:12" ht="15.75" customHeight="1" x14ac:dyDescent="0.2">
      <c r="E207" s="68"/>
      <c r="F207" s="68"/>
      <c r="G207" s="68"/>
      <c r="H207" s="68"/>
      <c r="I207" s="68"/>
      <c r="J207" s="68"/>
      <c r="K207" s="68"/>
      <c r="L207" s="68"/>
    </row>
    <row r="208" spans="5:12" ht="15.75" customHeight="1" x14ac:dyDescent="0.2">
      <c r="E208" s="68"/>
      <c r="F208" s="68"/>
      <c r="G208" s="68"/>
      <c r="H208" s="68"/>
      <c r="I208" s="68"/>
      <c r="J208" s="68"/>
      <c r="K208" s="68"/>
      <c r="L208" s="68"/>
    </row>
    <row r="209" spans="5:12" ht="15.75" customHeight="1" x14ac:dyDescent="0.2">
      <c r="E209" s="68"/>
      <c r="F209" s="68"/>
      <c r="G209" s="68"/>
      <c r="H209" s="68"/>
      <c r="I209" s="68"/>
      <c r="J209" s="68"/>
      <c r="K209" s="68"/>
      <c r="L209" s="68"/>
    </row>
    <row r="210" spans="5:12" ht="15.75" customHeight="1" x14ac:dyDescent="0.2">
      <c r="E210" s="68"/>
      <c r="F210" s="68"/>
      <c r="G210" s="68"/>
      <c r="H210" s="68"/>
      <c r="I210" s="68"/>
      <c r="J210" s="68"/>
      <c r="K210" s="68"/>
      <c r="L210" s="68"/>
    </row>
    <row r="211" spans="5:12" ht="15.75" customHeight="1" x14ac:dyDescent="0.2">
      <c r="E211" s="68"/>
      <c r="F211" s="68"/>
      <c r="G211" s="68"/>
      <c r="H211" s="68"/>
      <c r="I211" s="68"/>
      <c r="J211" s="68"/>
      <c r="K211" s="68"/>
      <c r="L211" s="68"/>
    </row>
    <row r="212" spans="5:12" ht="15.75" customHeight="1" x14ac:dyDescent="0.2">
      <c r="E212" s="68"/>
      <c r="F212" s="68"/>
      <c r="G212" s="68"/>
      <c r="H212" s="68"/>
      <c r="I212" s="68"/>
      <c r="J212" s="68"/>
      <c r="K212" s="68"/>
      <c r="L212" s="68"/>
    </row>
    <row r="213" spans="5:12" ht="15.75" customHeight="1" x14ac:dyDescent="0.2">
      <c r="E213" s="68"/>
      <c r="F213" s="68"/>
      <c r="G213" s="68"/>
      <c r="H213" s="68"/>
      <c r="I213" s="68"/>
      <c r="J213" s="68"/>
      <c r="K213" s="68"/>
      <c r="L213" s="68"/>
    </row>
    <row r="214" spans="5:12" ht="15.75" customHeight="1" x14ac:dyDescent="0.2">
      <c r="E214" s="68"/>
      <c r="F214" s="68"/>
      <c r="G214" s="68"/>
      <c r="H214" s="68"/>
      <c r="I214" s="68"/>
      <c r="J214" s="68"/>
      <c r="K214" s="68"/>
      <c r="L214" s="68"/>
    </row>
    <row r="215" spans="5:12" ht="15.75" customHeight="1" x14ac:dyDescent="0.2">
      <c r="E215" s="68"/>
      <c r="F215" s="68"/>
      <c r="G215" s="68"/>
      <c r="H215" s="68"/>
      <c r="I215" s="68"/>
      <c r="J215" s="68"/>
      <c r="K215" s="68"/>
      <c r="L215" s="68"/>
    </row>
    <row r="216" spans="5:12" ht="15.75" customHeight="1" x14ac:dyDescent="0.2">
      <c r="E216" s="68"/>
      <c r="F216" s="68"/>
      <c r="G216" s="68"/>
      <c r="H216" s="68"/>
      <c r="I216" s="68"/>
      <c r="J216" s="68"/>
      <c r="K216" s="68"/>
      <c r="L216" s="68"/>
    </row>
    <row r="217" spans="5:12" ht="15.75" customHeight="1" x14ac:dyDescent="0.2">
      <c r="E217" s="68"/>
      <c r="F217" s="68"/>
      <c r="G217" s="68"/>
      <c r="H217" s="68"/>
      <c r="I217" s="68"/>
      <c r="J217" s="68"/>
      <c r="K217" s="68"/>
      <c r="L217" s="68"/>
    </row>
    <row r="218" spans="5:12" ht="15.75" customHeight="1" x14ac:dyDescent="0.2">
      <c r="E218" s="68"/>
      <c r="F218" s="68"/>
      <c r="G218" s="68"/>
      <c r="H218" s="68"/>
      <c r="I218" s="68"/>
      <c r="J218" s="68"/>
      <c r="K218" s="68"/>
      <c r="L218" s="68"/>
    </row>
    <row r="219" spans="5:12" ht="15.75" customHeight="1" x14ac:dyDescent="0.2">
      <c r="E219" s="68"/>
      <c r="F219" s="68"/>
      <c r="G219" s="68"/>
      <c r="H219" s="68"/>
      <c r="I219" s="68"/>
      <c r="J219" s="68"/>
      <c r="K219" s="68"/>
      <c r="L219" s="68"/>
    </row>
    <row r="220" spans="5:12" ht="15.75" customHeight="1" x14ac:dyDescent="0.2">
      <c r="E220" s="68"/>
      <c r="F220" s="68"/>
      <c r="G220" s="68"/>
      <c r="H220" s="68"/>
      <c r="I220" s="68"/>
      <c r="J220" s="68"/>
      <c r="K220" s="68"/>
      <c r="L220" s="68"/>
    </row>
    <row r="221" spans="5:12" ht="15.75" customHeight="1" x14ac:dyDescent="0.2">
      <c r="E221" s="68"/>
      <c r="F221" s="68"/>
      <c r="G221" s="68"/>
      <c r="H221" s="68"/>
      <c r="I221" s="68"/>
      <c r="J221" s="68"/>
      <c r="K221" s="68"/>
      <c r="L221" s="68"/>
    </row>
    <row r="222" spans="5:12" ht="15.75" customHeight="1" x14ac:dyDescent="0.2">
      <c r="E222" s="68"/>
      <c r="F222" s="68"/>
      <c r="G222" s="68"/>
      <c r="H222" s="68"/>
      <c r="I222" s="68"/>
      <c r="J222" s="68"/>
      <c r="K222" s="68"/>
      <c r="L222" s="68"/>
    </row>
    <row r="223" spans="5:12" ht="15.75" customHeight="1" x14ac:dyDescent="0.2">
      <c r="E223" s="68"/>
      <c r="F223" s="68"/>
      <c r="G223" s="68"/>
      <c r="H223" s="68"/>
      <c r="I223" s="68"/>
      <c r="J223" s="68"/>
      <c r="K223" s="68"/>
      <c r="L223" s="68"/>
    </row>
    <row r="224" spans="5:12" ht="15.75" customHeight="1" x14ac:dyDescent="0.2">
      <c r="E224" s="68"/>
      <c r="F224" s="68"/>
      <c r="G224" s="68"/>
      <c r="H224" s="68"/>
      <c r="I224" s="68"/>
      <c r="J224" s="68"/>
      <c r="K224" s="68"/>
      <c r="L224" s="68"/>
    </row>
    <row r="225" spans="5:12" ht="15.75" customHeight="1" x14ac:dyDescent="0.2">
      <c r="E225" s="68"/>
      <c r="F225" s="68"/>
      <c r="G225" s="68"/>
      <c r="H225" s="68"/>
      <c r="I225" s="68"/>
      <c r="J225" s="68"/>
      <c r="K225" s="68"/>
      <c r="L225" s="68"/>
    </row>
    <row r="226" spans="5:12" ht="15.75" customHeight="1" x14ac:dyDescent="0.2">
      <c r="E226" s="68"/>
      <c r="F226" s="68"/>
      <c r="G226" s="68"/>
      <c r="H226" s="68"/>
      <c r="I226" s="68"/>
      <c r="J226" s="68"/>
      <c r="K226" s="68"/>
      <c r="L226" s="68"/>
    </row>
    <row r="227" spans="5:12" ht="15.75" customHeight="1" x14ac:dyDescent="0.2">
      <c r="E227" s="68"/>
      <c r="F227" s="68"/>
      <c r="G227" s="68"/>
      <c r="H227" s="68"/>
      <c r="I227" s="68"/>
      <c r="J227" s="68"/>
      <c r="K227" s="68"/>
      <c r="L227" s="68"/>
    </row>
    <row r="228" spans="5:12" ht="15.75" customHeight="1" x14ac:dyDescent="0.2">
      <c r="E228" s="68"/>
      <c r="F228" s="68"/>
      <c r="G228" s="68"/>
      <c r="H228" s="68"/>
      <c r="I228" s="68"/>
      <c r="J228" s="68"/>
      <c r="K228" s="68"/>
      <c r="L228" s="68"/>
    </row>
    <row r="229" spans="5:12" ht="15.75" customHeight="1" x14ac:dyDescent="0.2">
      <c r="E229" s="68"/>
      <c r="F229" s="68"/>
      <c r="G229" s="68"/>
      <c r="H229" s="68"/>
      <c r="I229" s="68"/>
      <c r="J229" s="68"/>
      <c r="K229" s="68"/>
      <c r="L229" s="68"/>
    </row>
    <row r="230" spans="5:12" ht="15.75" customHeight="1" x14ac:dyDescent="0.2">
      <c r="E230" s="68"/>
      <c r="F230" s="68"/>
      <c r="G230" s="68"/>
      <c r="H230" s="68"/>
      <c r="I230" s="68"/>
      <c r="J230" s="68"/>
      <c r="K230" s="68"/>
      <c r="L230" s="68"/>
    </row>
    <row r="231" spans="5:12" ht="15.75" customHeight="1" x14ac:dyDescent="0.2">
      <c r="E231" s="68"/>
      <c r="F231" s="68"/>
      <c r="G231" s="68"/>
      <c r="H231" s="68"/>
      <c r="I231" s="68"/>
      <c r="J231" s="68"/>
      <c r="K231" s="68"/>
      <c r="L231" s="68"/>
    </row>
    <row r="232" spans="5:12" ht="15.75" customHeight="1" x14ac:dyDescent="0.2">
      <c r="E232" s="68"/>
      <c r="F232" s="68"/>
      <c r="G232" s="68"/>
      <c r="H232" s="68"/>
      <c r="I232" s="68"/>
      <c r="J232" s="68"/>
      <c r="K232" s="68"/>
      <c r="L232" s="68"/>
    </row>
    <row r="233" spans="5:12" ht="15.75" customHeight="1" x14ac:dyDescent="0.2">
      <c r="E233" s="68"/>
      <c r="F233" s="68"/>
      <c r="G233" s="68"/>
      <c r="H233" s="68"/>
      <c r="I233" s="68"/>
      <c r="J233" s="68"/>
      <c r="K233" s="68"/>
      <c r="L233" s="68"/>
    </row>
    <row r="234" spans="5:12" ht="15.75" customHeight="1" x14ac:dyDescent="0.2">
      <c r="E234" s="68"/>
      <c r="F234" s="68"/>
      <c r="G234" s="68"/>
      <c r="H234" s="68"/>
      <c r="I234" s="68"/>
      <c r="J234" s="68"/>
      <c r="K234" s="68"/>
      <c r="L234" s="68"/>
    </row>
    <row r="235" spans="5:12" ht="15.75" customHeight="1" x14ac:dyDescent="0.2">
      <c r="E235" s="68"/>
      <c r="F235" s="68"/>
      <c r="G235" s="68"/>
      <c r="H235" s="68"/>
      <c r="I235" s="68"/>
      <c r="J235" s="68"/>
      <c r="K235" s="68"/>
      <c r="L235" s="68"/>
    </row>
    <row r="236" spans="5:12" ht="15.75" customHeight="1" x14ac:dyDescent="0.2">
      <c r="E236" s="68"/>
      <c r="F236" s="68"/>
      <c r="G236" s="68"/>
      <c r="H236" s="68"/>
      <c r="I236" s="68"/>
      <c r="J236" s="68"/>
      <c r="K236" s="68"/>
      <c r="L236" s="68"/>
    </row>
    <row r="237" spans="5:12" ht="15.75" customHeight="1" x14ac:dyDescent="0.2">
      <c r="E237" s="68"/>
      <c r="F237" s="68"/>
      <c r="G237" s="68"/>
      <c r="H237" s="68"/>
      <c r="I237" s="68"/>
      <c r="J237" s="68"/>
      <c r="K237" s="68"/>
      <c r="L237" s="68"/>
    </row>
    <row r="238" spans="5:12" ht="15.75" customHeight="1" x14ac:dyDescent="0.2">
      <c r="E238" s="68"/>
      <c r="F238" s="68"/>
      <c r="G238" s="68"/>
      <c r="H238" s="68"/>
      <c r="I238" s="68"/>
      <c r="J238" s="68"/>
      <c r="K238" s="68"/>
      <c r="L238" s="68"/>
    </row>
    <row r="239" spans="5:12" ht="15.75" customHeight="1" x14ac:dyDescent="0.2">
      <c r="E239" s="68"/>
      <c r="F239" s="68"/>
      <c r="G239" s="68"/>
      <c r="H239" s="68"/>
      <c r="I239" s="68"/>
      <c r="J239" s="68"/>
      <c r="K239" s="68"/>
      <c r="L239" s="68"/>
    </row>
    <row r="240" spans="5:12" ht="15.75" customHeight="1" x14ac:dyDescent="0.2">
      <c r="E240" s="68"/>
      <c r="F240" s="68"/>
      <c r="G240" s="68"/>
      <c r="H240" s="68"/>
      <c r="I240" s="68"/>
      <c r="J240" s="68"/>
      <c r="K240" s="68"/>
      <c r="L240" s="68"/>
    </row>
    <row r="241" spans="5:12" ht="15.75" customHeight="1" x14ac:dyDescent="0.2">
      <c r="E241" s="68"/>
      <c r="F241" s="68"/>
      <c r="G241" s="68"/>
      <c r="H241" s="68"/>
      <c r="I241" s="68"/>
      <c r="J241" s="68"/>
      <c r="K241" s="68"/>
      <c r="L241" s="68"/>
    </row>
    <row r="242" spans="5:12" ht="15.75" customHeight="1" x14ac:dyDescent="0.2">
      <c r="E242" s="68"/>
      <c r="F242" s="68"/>
      <c r="G242" s="68"/>
      <c r="H242" s="68"/>
      <c r="I242" s="68"/>
      <c r="J242" s="68"/>
      <c r="K242" s="68"/>
      <c r="L242" s="68"/>
    </row>
    <row r="243" spans="5:12" ht="15.75" customHeight="1" x14ac:dyDescent="0.2">
      <c r="E243" s="68"/>
      <c r="F243" s="68"/>
      <c r="G243" s="68"/>
      <c r="H243" s="68"/>
      <c r="I243" s="68"/>
      <c r="J243" s="68"/>
      <c r="K243" s="68"/>
      <c r="L243" s="68"/>
    </row>
    <row r="244" spans="5:12" ht="15.75" customHeight="1" x14ac:dyDescent="0.2">
      <c r="E244" s="68"/>
      <c r="F244" s="68"/>
      <c r="G244" s="68"/>
      <c r="H244" s="68"/>
      <c r="I244" s="68"/>
      <c r="J244" s="68"/>
      <c r="K244" s="68"/>
      <c r="L244" s="68"/>
    </row>
    <row r="245" spans="5:12" ht="15.75" customHeight="1" x14ac:dyDescent="0.2">
      <c r="E245" s="68"/>
      <c r="F245" s="68"/>
      <c r="G245" s="68"/>
      <c r="H245" s="68"/>
      <c r="I245" s="68"/>
      <c r="J245" s="68"/>
      <c r="K245" s="68"/>
      <c r="L245" s="68"/>
    </row>
    <row r="246" spans="5:12" ht="15.75" customHeight="1" x14ac:dyDescent="0.2">
      <c r="E246" s="68"/>
      <c r="F246" s="68"/>
      <c r="G246" s="68"/>
      <c r="H246" s="68"/>
      <c r="I246" s="68"/>
      <c r="J246" s="68"/>
      <c r="K246" s="68"/>
      <c r="L246" s="68"/>
    </row>
    <row r="247" spans="5:12" ht="15.75" customHeight="1" x14ac:dyDescent="0.2">
      <c r="E247" s="68"/>
      <c r="F247" s="68"/>
      <c r="G247" s="68"/>
      <c r="H247" s="68"/>
      <c r="I247" s="68"/>
      <c r="J247" s="68"/>
      <c r="K247" s="68"/>
      <c r="L247" s="68"/>
    </row>
    <row r="248" spans="5:12" ht="15.75" customHeight="1" x14ac:dyDescent="0.2">
      <c r="E248" s="68"/>
      <c r="F248" s="68"/>
      <c r="G248" s="68"/>
      <c r="H248" s="68"/>
      <c r="I248" s="68"/>
      <c r="J248" s="68"/>
      <c r="K248" s="68"/>
      <c r="L248" s="68"/>
    </row>
    <row r="249" spans="5:12" ht="15.75" customHeight="1" x14ac:dyDescent="0.2">
      <c r="E249" s="68"/>
      <c r="F249" s="68"/>
      <c r="G249" s="68"/>
      <c r="H249" s="68"/>
      <c r="I249" s="68"/>
      <c r="J249" s="68"/>
      <c r="K249" s="68"/>
      <c r="L249" s="68"/>
    </row>
    <row r="250" spans="5:12" ht="15.75" customHeight="1" x14ac:dyDescent="0.2">
      <c r="E250" s="68"/>
      <c r="F250" s="68"/>
      <c r="G250" s="68"/>
      <c r="H250" s="68"/>
      <c r="I250" s="68"/>
      <c r="J250" s="68"/>
      <c r="K250" s="68"/>
      <c r="L250" s="68"/>
    </row>
    <row r="251" spans="5:12" ht="15.75" customHeight="1" x14ac:dyDescent="0.2">
      <c r="E251" s="68"/>
      <c r="F251" s="68"/>
      <c r="G251" s="68"/>
      <c r="H251" s="68"/>
      <c r="I251" s="68"/>
      <c r="J251" s="68"/>
      <c r="K251" s="68"/>
      <c r="L251" s="68"/>
    </row>
    <row r="252" spans="5:12" ht="15.75" customHeight="1" x14ac:dyDescent="0.2">
      <c r="E252" s="68"/>
      <c r="F252" s="68"/>
      <c r="G252" s="68"/>
      <c r="H252" s="68"/>
      <c r="I252" s="68"/>
      <c r="J252" s="68"/>
      <c r="K252" s="68"/>
      <c r="L252" s="68"/>
    </row>
    <row r="253" spans="5:12" ht="15.75" customHeight="1" x14ac:dyDescent="0.2">
      <c r="E253" s="68"/>
      <c r="F253" s="68"/>
      <c r="G253" s="68"/>
      <c r="H253" s="68"/>
      <c r="I253" s="68"/>
      <c r="J253" s="68"/>
      <c r="K253" s="68"/>
      <c r="L253" s="68"/>
    </row>
    <row r="254" spans="5:12" ht="15.75" customHeight="1" x14ac:dyDescent="0.2">
      <c r="E254" s="68"/>
      <c r="F254" s="68"/>
      <c r="G254" s="68"/>
      <c r="H254" s="68"/>
      <c r="I254" s="68"/>
      <c r="J254" s="68"/>
      <c r="K254" s="68"/>
      <c r="L254" s="68"/>
    </row>
    <row r="255" spans="5:12" ht="15.75" customHeight="1" x14ac:dyDescent="0.2">
      <c r="E255" s="68"/>
      <c r="F255" s="68"/>
      <c r="G255" s="68"/>
      <c r="H255" s="68"/>
      <c r="I255" s="68"/>
      <c r="J255" s="68"/>
      <c r="K255" s="68"/>
      <c r="L255" s="68"/>
    </row>
    <row r="256" spans="5:12" ht="15.75" customHeight="1" x14ac:dyDescent="0.2">
      <c r="E256" s="68"/>
      <c r="F256" s="68"/>
      <c r="G256" s="68"/>
      <c r="H256" s="68"/>
      <c r="I256" s="68"/>
      <c r="J256" s="68"/>
      <c r="K256" s="68"/>
      <c r="L256" s="68"/>
    </row>
    <row r="257" spans="5:12" ht="15.75" customHeight="1" x14ac:dyDescent="0.2">
      <c r="E257" s="68"/>
      <c r="F257" s="68"/>
      <c r="G257" s="68"/>
      <c r="H257" s="68"/>
      <c r="I257" s="68"/>
      <c r="J257" s="68"/>
      <c r="K257" s="68"/>
      <c r="L257" s="68"/>
    </row>
    <row r="258" spans="5:12" ht="15.75" customHeight="1" x14ac:dyDescent="0.2">
      <c r="E258" s="68"/>
      <c r="F258" s="68"/>
      <c r="G258" s="68"/>
      <c r="H258" s="68"/>
      <c r="I258" s="68"/>
      <c r="J258" s="68"/>
      <c r="K258" s="68"/>
      <c r="L258" s="68"/>
    </row>
    <row r="259" spans="5:12" ht="15.75" customHeight="1" x14ac:dyDescent="0.2">
      <c r="E259" s="68"/>
      <c r="F259" s="68"/>
      <c r="G259" s="68"/>
      <c r="H259" s="68"/>
      <c r="I259" s="68"/>
      <c r="J259" s="68"/>
      <c r="K259" s="68"/>
      <c r="L259" s="68"/>
    </row>
    <row r="260" spans="5:12" ht="15.75" customHeight="1" x14ac:dyDescent="0.2">
      <c r="E260" s="68"/>
      <c r="F260" s="68"/>
      <c r="G260" s="68"/>
      <c r="H260" s="68"/>
      <c r="I260" s="68"/>
      <c r="J260" s="68"/>
      <c r="K260" s="68"/>
      <c r="L260" s="68"/>
    </row>
    <row r="261" spans="5:12" ht="15.75" customHeight="1" x14ac:dyDescent="0.2">
      <c r="E261" s="68"/>
      <c r="F261" s="68"/>
      <c r="G261" s="68"/>
      <c r="H261" s="68"/>
      <c r="I261" s="68"/>
      <c r="J261" s="68"/>
      <c r="K261" s="68"/>
      <c r="L261" s="68"/>
    </row>
    <row r="262" spans="5:12" ht="15.75" customHeight="1" x14ac:dyDescent="0.2">
      <c r="E262" s="68"/>
      <c r="F262" s="68"/>
      <c r="G262" s="68"/>
      <c r="H262" s="68"/>
      <c r="I262" s="68"/>
      <c r="J262" s="68"/>
      <c r="K262" s="68"/>
      <c r="L262" s="68"/>
    </row>
    <row r="263" spans="5:12" ht="15.75" customHeight="1" x14ac:dyDescent="0.2">
      <c r="E263" s="68"/>
      <c r="F263" s="68"/>
      <c r="G263" s="68"/>
      <c r="H263" s="68"/>
      <c r="I263" s="68"/>
      <c r="J263" s="68"/>
      <c r="K263" s="68"/>
      <c r="L263" s="68"/>
    </row>
    <row r="264" spans="5:12" ht="15.75" customHeight="1" x14ac:dyDescent="0.2">
      <c r="E264" s="68"/>
      <c r="F264" s="68"/>
      <c r="G264" s="68"/>
      <c r="H264" s="68"/>
      <c r="I264" s="68"/>
      <c r="J264" s="68"/>
      <c r="K264" s="68"/>
      <c r="L264" s="68"/>
    </row>
    <row r="265" spans="5:12" ht="15.75" customHeight="1" x14ac:dyDescent="0.2">
      <c r="E265" s="68"/>
      <c r="F265" s="68"/>
      <c r="G265" s="68"/>
      <c r="H265" s="68"/>
      <c r="I265" s="68"/>
      <c r="J265" s="68"/>
      <c r="K265" s="68"/>
      <c r="L265" s="68"/>
    </row>
    <row r="266" spans="5:12" ht="15.75" customHeight="1" x14ac:dyDescent="0.2">
      <c r="E266" s="68"/>
      <c r="F266" s="68"/>
      <c r="G266" s="68"/>
      <c r="H266" s="68"/>
      <c r="I266" s="68"/>
      <c r="J266" s="68"/>
      <c r="K266" s="68"/>
      <c r="L266" s="68"/>
    </row>
    <row r="267" spans="5:12" ht="15.75" customHeight="1" x14ac:dyDescent="0.2">
      <c r="E267" s="68"/>
      <c r="F267" s="68"/>
      <c r="G267" s="68"/>
      <c r="H267" s="68"/>
      <c r="I267" s="68"/>
      <c r="J267" s="68"/>
      <c r="K267" s="68"/>
      <c r="L267" s="68"/>
    </row>
    <row r="268" spans="5:12" ht="15.75" customHeight="1" x14ac:dyDescent="0.2">
      <c r="E268" s="68"/>
      <c r="F268" s="68"/>
      <c r="G268" s="68"/>
      <c r="H268" s="68"/>
      <c r="I268" s="68"/>
      <c r="J268" s="68"/>
      <c r="K268" s="68"/>
      <c r="L268" s="68"/>
    </row>
    <row r="269" spans="5:12" ht="15.75" customHeight="1" x14ac:dyDescent="0.2">
      <c r="E269" s="68"/>
      <c r="F269" s="68"/>
      <c r="G269" s="68"/>
      <c r="H269" s="68"/>
      <c r="I269" s="68"/>
      <c r="J269" s="68"/>
      <c r="K269" s="68"/>
      <c r="L269" s="68"/>
    </row>
    <row r="270" spans="5:12" ht="15.75" customHeight="1" x14ac:dyDescent="0.2">
      <c r="E270" s="68"/>
      <c r="F270" s="68"/>
      <c r="G270" s="68"/>
      <c r="H270" s="68"/>
      <c r="I270" s="68"/>
      <c r="J270" s="68"/>
      <c r="K270" s="68"/>
      <c r="L270" s="68"/>
    </row>
    <row r="271" spans="5:12" ht="15.75" customHeight="1" x14ac:dyDescent="0.2">
      <c r="E271" s="68"/>
      <c r="F271" s="68"/>
      <c r="G271" s="68"/>
      <c r="H271" s="68"/>
      <c r="I271" s="68"/>
      <c r="J271" s="68"/>
      <c r="K271" s="68"/>
      <c r="L271" s="68"/>
    </row>
    <row r="272" spans="5:12" ht="15.75" customHeight="1" x14ac:dyDescent="0.2">
      <c r="E272" s="68"/>
      <c r="F272" s="68"/>
      <c r="G272" s="68"/>
      <c r="H272" s="68"/>
      <c r="I272" s="68"/>
      <c r="J272" s="68"/>
      <c r="K272" s="68"/>
      <c r="L272" s="68"/>
    </row>
    <row r="273" spans="5:12" ht="15.75" customHeight="1" x14ac:dyDescent="0.2">
      <c r="E273" s="68"/>
      <c r="F273" s="68"/>
      <c r="G273" s="68"/>
      <c r="H273" s="68"/>
      <c r="I273" s="68"/>
      <c r="J273" s="68"/>
      <c r="K273" s="68"/>
      <c r="L273" s="68"/>
    </row>
    <row r="274" spans="5:12" ht="15.75" customHeight="1" x14ac:dyDescent="0.2">
      <c r="E274" s="68"/>
      <c r="F274" s="68"/>
      <c r="G274" s="68"/>
      <c r="H274" s="68"/>
      <c r="I274" s="68"/>
      <c r="J274" s="68"/>
      <c r="K274" s="68"/>
      <c r="L274" s="68"/>
    </row>
    <row r="275" spans="5:12" ht="15.75" customHeight="1" x14ac:dyDescent="0.2">
      <c r="E275" s="68"/>
      <c r="F275" s="68"/>
      <c r="G275" s="68"/>
      <c r="H275" s="68"/>
      <c r="I275" s="68"/>
      <c r="J275" s="68"/>
      <c r="K275" s="68"/>
      <c r="L275" s="68"/>
    </row>
    <row r="276" spans="5:12" ht="15.75" customHeight="1" x14ac:dyDescent="0.2">
      <c r="E276" s="68"/>
      <c r="F276" s="68"/>
      <c r="G276" s="68"/>
      <c r="H276" s="68"/>
      <c r="I276" s="68"/>
      <c r="J276" s="68"/>
      <c r="K276" s="68"/>
      <c r="L276" s="68"/>
    </row>
    <row r="277" spans="5:12" ht="15.75" customHeight="1" x14ac:dyDescent="0.2">
      <c r="E277" s="68"/>
      <c r="F277" s="68"/>
      <c r="G277" s="68"/>
      <c r="H277" s="68"/>
      <c r="I277" s="68"/>
      <c r="J277" s="68"/>
      <c r="K277" s="68"/>
      <c r="L277" s="68"/>
    </row>
    <row r="278" spans="5:12" ht="15.75" customHeight="1" x14ac:dyDescent="0.2">
      <c r="E278" s="68"/>
      <c r="F278" s="68"/>
      <c r="G278" s="68"/>
      <c r="H278" s="68"/>
      <c r="I278" s="68"/>
      <c r="J278" s="68"/>
      <c r="K278" s="68"/>
      <c r="L278" s="68"/>
    </row>
    <row r="279" spans="5:12" ht="15.75" customHeight="1" x14ac:dyDescent="0.2">
      <c r="E279" s="68"/>
      <c r="F279" s="68"/>
      <c r="G279" s="68"/>
      <c r="H279" s="68"/>
      <c r="I279" s="68"/>
      <c r="J279" s="68"/>
      <c r="K279" s="68"/>
      <c r="L279" s="68"/>
    </row>
    <row r="280" spans="5:12" ht="15.75" customHeight="1" x14ac:dyDescent="0.2">
      <c r="E280" s="68"/>
      <c r="F280" s="68"/>
      <c r="G280" s="68"/>
      <c r="H280" s="68"/>
      <c r="I280" s="68"/>
      <c r="J280" s="68"/>
      <c r="K280" s="68"/>
      <c r="L280" s="68"/>
    </row>
    <row r="281" spans="5:12" ht="15.75" customHeight="1" x14ac:dyDescent="0.2">
      <c r="E281" s="68"/>
      <c r="F281" s="68"/>
      <c r="G281" s="68"/>
      <c r="H281" s="68"/>
      <c r="I281" s="68"/>
      <c r="J281" s="68"/>
      <c r="K281" s="68"/>
      <c r="L281" s="68"/>
    </row>
    <row r="282" spans="5:12" ht="15.75" customHeight="1" x14ac:dyDescent="0.2">
      <c r="E282" s="68"/>
      <c r="F282" s="68"/>
      <c r="G282" s="68"/>
      <c r="H282" s="68"/>
      <c r="I282" s="68"/>
      <c r="J282" s="68"/>
      <c r="K282" s="68"/>
      <c r="L282" s="68"/>
    </row>
    <row r="283" spans="5:12" ht="15.75" customHeight="1" x14ac:dyDescent="0.2">
      <c r="E283" s="68"/>
      <c r="F283" s="68"/>
      <c r="G283" s="68"/>
      <c r="H283" s="68"/>
      <c r="I283" s="68"/>
      <c r="J283" s="68"/>
      <c r="K283" s="68"/>
      <c r="L283" s="68"/>
    </row>
    <row r="284" spans="5:12" ht="15.75" customHeight="1" x14ac:dyDescent="0.2">
      <c r="E284" s="68"/>
      <c r="F284" s="68"/>
      <c r="G284" s="68"/>
      <c r="H284" s="68"/>
      <c r="I284" s="68"/>
      <c r="J284" s="68"/>
      <c r="K284" s="68"/>
      <c r="L284" s="68"/>
    </row>
    <row r="285" spans="5:12" ht="15.75" customHeight="1" x14ac:dyDescent="0.2">
      <c r="E285" s="68"/>
      <c r="F285" s="68"/>
      <c r="G285" s="68"/>
      <c r="H285" s="68"/>
      <c r="I285" s="68"/>
      <c r="J285" s="68"/>
      <c r="K285" s="68"/>
      <c r="L285" s="68"/>
    </row>
    <row r="286" spans="5:12" ht="15.75" customHeight="1" x14ac:dyDescent="0.2">
      <c r="E286" s="68"/>
      <c r="F286" s="68"/>
      <c r="G286" s="68"/>
      <c r="H286" s="68"/>
      <c r="I286" s="68"/>
      <c r="J286" s="68"/>
      <c r="K286" s="68"/>
      <c r="L286" s="68"/>
    </row>
    <row r="287" spans="5:12" ht="15.75" customHeight="1" x14ac:dyDescent="0.2">
      <c r="E287" s="68"/>
      <c r="F287" s="68"/>
      <c r="G287" s="68"/>
      <c r="H287" s="68"/>
      <c r="I287" s="68"/>
      <c r="J287" s="68"/>
      <c r="K287" s="68"/>
      <c r="L287" s="68"/>
    </row>
    <row r="288" spans="5:12" ht="15.75" customHeight="1" x14ac:dyDescent="0.2">
      <c r="E288" s="68"/>
      <c r="F288" s="68"/>
      <c r="G288" s="68"/>
      <c r="H288" s="68"/>
      <c r="I288" s="68"/>
      <c r="J288" s="68"/>
      <c r="K288" s="68"/>
      <c r="L288" s="68"/>
    </row>
    <row r="289" spans="5:12" ht="15.75" customHeight="1" x14ac:dyDescent="0.2">
      <c r="E289" s="68"/>
      <c r="F289" s="68"/>
      <c r="G289" s="68"/>
      <c r="H289" s="68"/>
      <c r="I289" s="68"/>
      <c r="J289" s="68"/>
      <c r="K289" s="68"/>
      <c r="L289" s="68"/>
    </row>
    <row r="290" spans="5:12" ht="15.75" customHeight="1" x14ac:dyDescent="0.2">
      <c r="E290" s="68"/>
      <c r="F290" s="68"/>
      <c r="G290" s="68"/>
      <c r="H290" s="68"/>
      <c r="I290" s="68"/>
      <c r="J290" s="68"/>
      <c r="K290" s="68"/>
      <c r="L290" s="68"/>
    </row>
    <row r="291" spans="5:12" ht="15.75" customHeight="1" x14ac:dyDescent="0.2">
      <c r="E291" s="68"/>
      <c r="F291" s="68"/>
      <c r="G291" s="68"/>
      <c r="H291" s="68"/>
      <c r="I291" s="68"/>
      <c r="J291" s="68"/>
      <c r="K291" s="68"/>
      <c r="L291" s="68"/>
    </row>
    <row r="292" spans="5:12" ht="15.75" customHeight="1" x14ac:dyDescent="0.2">
      <c r="E292" s="68"/>
      <c r="F292" s="68"/>
      <c r="G292" s="68"/>
      <c r="H292" s="68"/>
      <c r="I292" s="68"/>
      <c r="J292" s="68"/>
      <c r="K292" s="68"/>
      <c r="L292" s="68"/>
    </row>
    <row r="293" spans="5:12" ht="15.75" customHeight="1" x14ac:dyDescent="0.2">
      <c r="E293" s="68"/>
      <c r="F293" s="68"/>
      <c r="G293" s="68"/>
      <c r="H293" s="68"/>
      <c r="I293" s="68"/>
      <c r="J293" s="68"/>
      <c r="K293" s="68"/>
      <c r="L293" s="68"/>
    </row>
    <row r="294" spans="5:12" ht="15.75" customHeight="1" x14ac:dyDescent="0.2">
      <c r="E294" s="68"/>
      <c r="F294" s="68"/>
      <c r="G294" s="68"/>
      <c r="H294" s="68"/>
      <c r="I294" s="68"/>
      <c r="J294" s="68"/>
      <c r="K294" s="68"/>
      <c r="L294" s="68"/>
    </row>
    <row r="295" spans="5:12" ht="15.75" customHeight="1" x14ac:dyDescent="0.2">
      <c r="E295" s="68"/>
      <c r="F295" s="68"/>
      <c r="G295" s="68"/>
      <c r="H295" s="68"/>
      <c r="I295" s="68"/>
      <c r="J295" s="68"/>
      <c r="K295" s="68"/>
      <c r="L295" s="68"/>
    </row>
    <row r="296" spans="5:12" ht="15.75" customHeight="1" x14ac:dyDescent="0.2">
      <c r="E296" s="68"/>
      <c r="F296" s="68"/>
      <c r="G296" s="68"/>
      <c r="H296" s="68"/>
      <c r="I296" s="68"/>
      <c r="J296" s="68"/>
      <c r="K296" s="68"/>
      <c r="L296" s="68"/>
    </row>
    <row r="297" spans="5:12" ht="15.75" customHeight="1" x14ac:dyDescent="0.2">
      <c r="E297" s="68"/>
      <c r="F297" s="68"/>
      <c r="G297" s="68"/>
      <c r="H297" s="68"/>
      <c r="I297" s="68"/>
      <c r="J297" s="68"/>
      <c r="K297" s="68"/>
      <c r="L297" s="68"/>
    </row>
    <row r="298" spans="5:12" ht="15.75" customHeight="1" x14ac:dyDescent="0.2">
      <c r="E298" s="68"/>
      <c r="F298" s="68"/>
      <c r="G298" s="68"/>
      <c r="H298" s="68"/>
      <c r="I298" s="68"/>
      <c r="J298" s="68"/>
      <c r="K298" s="68"/>
      <c r="L298" s="68"/>
    </row>
    <row r="299" spans="5:12" ht="15.75" customHeight="1" x14ac:dyDescent="0.2">
      <c r="E299" s="68"/>
      <c r="F299" s="68"/>
      <c r="G299" s="68"/>
      <c r="H299" s="68"/>
      <c r="I299" s="68"/>
      <c r="J299" s="68"/>
      <c r="K299" s="68"/>
      <c r="L299" s="68"/>
    </row>
    <row r="300" spans="5:12" ht="15.75" customHeight="1" x14ac:dyDescent="0.2">
      <c r="E300" s="68"/>
      <c r="F300" s="68"/>
      <c r="G300" s="68"/>
      <c r="H300" s="68"/>
      <c r="I300" s="68"/>
      <c r="J300" s="68"/>
      <c r="K300" s="68"/>
      <c r="L300" s="68"/>
    </row>
    <row r="301" spans="5:12" ht="15.75" customHeight="1" x14ac:dyDescent="0.2">
      <c r="E301" s="68"/>
      <c r="F301" s="68"/>
      <c r="G301" s="68"/>
      <c r="H301" s="68"/>
      <c r="I301" s="68"/>
      <c r="J301" s="68"/>
      <c r="K301" s="68"/>
      <c r="L301" s="68"/>
    </row>
    <row r="302" spans="5:12" ht="15.75" customHeight="1" x14ac:dyDescent="0.2">
      <c r="E302" s="68"/>
      <c r="F302" s="68"/>
      <c r="G302" s="68"/>
      <c r="H302" s="68"/>
      <c r="I302" s="68"/>
      <c r="J302" s="68"/>
      <c r="K302" s="68"/>
      <c r="L302" s="68"/>
    </row>
    <row r="303" spans="5:12" ht="15.75" customHeight="1" x14ac:dyDescent="0.2">
      <c r="E303" s="68"/>
      <c r="F303" s="68"/>
      <c r="G303" s="68"/>
      <c r="H303" s="68"/>
      <c r="I303" s="68"/>
      <c r="J303" s="68"/>
      <c r="K303" s="68"/>
      <c r="L303" s="68"/>
    </row>
    <row r="304" spans="5:12" ht="15.75" customHeight="1" x14ac:dyDescent="0.2">
      <c r="E304" s="68"/>
      <c r="F304" s="68"/>
      <c r="G304" s="68"/>
      <c r="H304" s="68"/>
      <c r="I304" s="68"/>
      <c r="J304" s="68"/>
      <c r="K304" s="68"/>
      <c r="L304" s="68"/>
    </row>
    <row r="305" spans="5:12" ht="15.75" customHeight="1" x14ac:dyDescent="0.2">
      <c r="E305" s="68"/>
      <c r="F305" s="68"/>
      <c r="G305" s="68"/>
      <c r="H305" s="68"/>
      <c r="I305" s="68"/>
      <c r="J305" s="68"/>
      <c r="K305" s="68"/>
      <c r="L305" s="68"/>
    </row>
    <row r="306" spans="5:12" ht="15.75" customHeight="1" x14ac:dyDescent="0.2">
      <c r="E306" s="68"/>
      <c r="F306" s="68"/>
      <c r="G306" s="68"/>
      <c r="H306" s="68"/>
      <c r="I306" s="68"/>
      <c r="J306" s="68"/>
      <c r="K306" s="68"/>
      <c r="L306" s="68"/>
    </row>
    <row r="307" spans="5:12" ht="15.75" customHeight="1" x14ac:dyDescent="0.2">
      <c r="E307" s="68"/>
      <c r="F307" s="68"/>
      <c r="G307" s="68"/>
      <c r="H307" s="68"/>
      <c r="I307" s="68"/>
      <c r="J307" s="68"/>
      <c r="K307" s="68"/>
      <c r="L307" s="68"/>
    </row>
    <row r="308" spans="5:12" ht="15.75" customHeight="1" x14ac:dyDescent="0.2">
      <c r="E308" s="68"/>
      <c r="F308" s="68"/>
      <c r="G308" s="68"/>
      <c r="H308" s="68"/>
      <c r="I308" s="68"/>
      <c r="J308" s="68"/>
      <c r="K308" s="68"/>
      <c r="L308" s="68"/>
    </row>
    <row r="309" spans="5:12" ht="15.75" customHeight="1" x14ac:dyDescent="0.2">
      <c r="E309" s="68"/>
      <c r="F309" s="68"/>
      <c r="G309" s="68"/>
      <c r="H309" s="68"/>
      <c r="I309" s="68"/>
      <c r="J309" s="68"/>
      <c r="K309" s="68"/>
      <c r="L309" s="68"/>
    </row>
    <row r="310" spans="5:12" ht="15.75" customHeight="1" x14ac:dyDescent="0.2">
      <c r="E310" s="68"/>
      <c r="F310" s="68"/>
      <c r="G310" s="68"/>
      <c r="H310" s="68"/>
      <c r="I310" s="68"/>
      <c r="J310" s="68"/>
      <c r="K310" s="68"/>
      <c r="L310" s="68"/>
    </row>
    <row r="311" spans="5:12" ht="15.75" customHeight="1" x14ac:dyDescent="0.2">
      <c r="E311" s="68"/>
      <c r="F311" s="68"/>
      <c r="G311" s="68"/>
      <c r="H311" s="68"/>
      <c r="I311" s="68"/>
      <c r="J311" s="68"/>
      <c r="K311" s="68"/>
      <c r="L311" s="68"/>
    </row>
    <row r="312" spans="5:12" ht="15.75" customHeight="1" x14ac:dyDescent="0.2">
      <c r="E312" s="68"/>
      <c r="F312" s="68"/>
      <c r="G312" s="68"/>
      <c r="H312" s="68"/>
      <c r="I312" s="68"/>
      <c r="J312" s="68"/>
      <c r="K312" s="68"/>
      <c r="L312" s="68"/>
    </row>
    <row r="313" spans="5:12" ht="15.75" customHeight="1" x14ac:dyDescent="0.2">
      <c r="E313" s="68"/>
      <c r="F313" s="68"/>
      <c r="G313" s="68"/>
      <c r="H313" s="68"/>
      <c r="I313" s="68"/>
      <c r="J313" s="68"/>
      <c r="K313" s="68"/>
      <c r="L313" s="68"/>
    </row>
    <row r="314" spans="5:12" ht="15.75" customHeight="1" x14ac:dyDescent="0.2">
      <c r="E314" s="68"/>
      <c r="F314" s="68"/>
      <c r="G314" s="68"/>
      <c r="H314" s="68"/>
      <c r="I314" s="68"/>
      <c r="J314" s="68"/>
      <c r="K314" s="68"/>
      <c r="L314" s="68"/>
    </row>
    <row r="315" spans="5:12" ht="15.75" customHeight="1" x14ac:dyDescent="0.2">
      <c r="E315" s="68"/>
      <c r="F315" s="68"/>
      <c r="G315" s="68"/>
      <c r="H315" s="68"/>
      <c r="I315" s="68"/>
      <c r="J315" s="68"/>
      <c r="K315" s="68"/>
      <c r="L315" s="68"/>
    </row>
    <row r="316" spans="5:12" ht="15.75" customHeight="1" x14ac:dyDescent="0.2">
      <c r="E316" s="68"/>
      <c r="F316" s="68"/>
      <c r="G316" s="68"/>
      <c r="H316" s="68"/>
      <c r="I316" s="68"/>
      <c r="J316" s="68"/>
      <c r="K316" s="68"/>
      <c r="L316" s="68"/>
    </row>
    <row r="317" spans="5:12" ht="15.75" customHeight="1" x14ac:dyDescent="0.2">
      <c r="E317" s="68"/>
      <c r="F317" s="68"/>
      <c r="G317" s="68"/>
      <c r="H317" s="68"/>
      <c r="I317" s="68"/>
      <c r="J317" s="68"/>
      <c r="K317" s="68"/>
      <c r="L317" s="68"/>
    </row>
    <row r="318" spans="5:12" ht="15.75" customHeight="1" x14ac:dyDescent="0.2">
      <c r="E318" s="68"/>
      <c r="F318" s="68"/>
      <c r="G318" s="68"/>
      <c r="H318" s="68"/>
      <c r="I318" s="68"/>
      <c r="J318" s="68"/>
      <c r="K318" s="68"/>
      <c r="L318" s="68"/>
    </row>
    <row r="319" spans="5:12" ht="15.75" customHeight="1" x14ac:dyDescent="0.2">
      <c r="E319" s="68"/>
      <c r="F319" s="68"/>
      <c r="G319" s="68"/>
      <c r="H319" s="68"/>
      <c r="I319" s="68"/>
      <c r="J319" s="68"/>
      <c r="K319" s="68"/>
      <c r="L319" s="68"/>
    </row>
    <row r="320" spans="5:12" ht="15.75" customHeight="1" x14ac:dyDescent="0.2">
      <c r="E320" s="68"/>
      <c r="F320" s="68"/>
      <c r="G320" s="68"/>
      <c r="H320" s="68"/>
      <c r="I320" s="68"/>
      <c r="J320" s="68"/>
      <c r="K320" s="68"/>
      <c r="L320" s="68"/>
    </row>
    <row r="321" spans="5:12" ht="15.75" customHeight="1" x14ac:dyDescent="0.2">
      <c r="E321" s="68"/>
      <c r="F321" s="68"/>
      <c r="G321" s="68"/>
      <c r="H321" s="68"/>
      <c r="I321" s="68"/>
      <c r="J321" s="68"/>
      <c r="K321" s="68"/>
      <c r="L321" s="68"/>
    </row>
    <row r="322" spans="5:12" ht="15.75" customHeight="1" x14ac:dyDescent="0.2">
      <c r="E322" s="68"/>
      <c r="F322" s="68"/>
      <c r="G322" s="68"/>
      <c r="H322" s="68"/>
      <c r="I322" s="68"/>
      <c r="J322" s="68"/>
      <c r="K322" s="68"/>
      <c r="L322" s="68"/>
    </row>
    <row r="323" spans="5:12" ht="15.75" customHeight="1" x14ac:dyDescent="0.2">
      <c r="E323" s="68"/>
      <c r="F323" s="68"/>
      <c r="G323" s="68"/>
      <c r="H323" s="68"/>
      <c r="I323" s="68"/>
      <c r="J323" s="68"/>
      <c r="K323" s="68"/>
      <c r="L323" s="68"/>
    </row>
    <row r="324" spans="5:12" ht="15.75" customHeight="1" x14ac:dyDescent="0.2">
      <c r="E324" s="68"/>
      <c r="F324" s="68"/>
      <c r="G324" s="68"/>
      <c r="H324" s="68"/>
      <c r="I324" s="68"/>
      <c r="J324" s="68"/>
      <c r="K324" s="68"/>
      <c r="L324" s="68"/>
    </row>
    <row r="325" spans="5:12" ht="15.75" customHeight="1" x14ac:dyDescent="0.2">
      <c r="E325" s="68"/>
      <c r="F325" s="68"/>
      <c r="G325" s="68"/>
      <c r="H325" s="68"/>
      <c r="I325" s="68"/>
      <c r="J325" s="68"/>
      <c r="K325" s="68"/>
      <c r="L325" s="68"/>
    </row>
    <row r="326" spans="5:12" ht="15.75" customHeight="1" x14ac:dyDescent="0.2">
      <c r="E326" s="68"/>
      <c r="F326" s="68"/>
      <c r="G326" s="68"/>
      <c r="H326" s="68"/>
      <c r="I326" s="68"/>
      <c r="J326" s="68"/>
      <c r="K326" s="68"/>
      <c r="L326" s="68"/>
    </row>
    <row r="327" spans="5:12" ht="15.75" customHeight="1" x14ac:dyDescent="0.2">
      <c r="E327" s="68"/>
      <c r="F327" s="68"/>
      <c r="G327" s="68"/>
      <c r="H327" s="68"/>
      <c r="I327" s="68"/>
      <c r="J327" s="68"/>
      <c r="K327" s="68"/>
      <c r="L327" s="68"/>
    </row>
    <row r="328" spans="5:12" ht="15.75" customHeight="1" x14ac:dyDescent="0.2">
      <c r="E328" s="68"/>
      <c r="F328" s="68"/>
      <c r="G328" s="68"/>
      <c r="H328" s="68"/>
      <c r="I328" s="68"/>
      <c r="J328" s="68"/>
      <c r="K328" s="68"/>
      <c r="L328" s="68"/>
    </row>
    <row r="329" spans="5:12" ht="15.75" customHeight="1" x14ac:dyDescent="0.2">
      <c r="E329" s="68"/>
      <c r="F329" s="68"/>
      <c r="G329" s="68"/>
      <c r="H329" s="68"/>
      <c r="I329" s="68"/>
      <c r="J329" s="68"/>
      <c r="K329" s="68"/>
      <c r="L329" s="68"/>
    </row>
    <row r="330" spans="5:12" ht="15.75" customHeight="1" x14ac:dyDescent="0.2">
      <c r="E330" s="68"/>
      <c r="F330" s="68"/>
      <c r="G330" s="68"/>
      <c r="H330" s="68"/>
      <c r="I330" s="68"/>
      <c r="J330" s="68"/>
      <c r="K330" s="68"/>
      <c r="L330" s="68"/>
    </row>
    <row r="331" spans="5:12" ht="15.75" customHeight="1" x14ac:dyDescent="0.2">
      <c r="E331" s="68"/>
      <c r="F331" s="68"/>
      <c r="G331" s="68"/>
      <c r="H331" s="68"/>
      <c r="I331" s="68"/>
      <c r="J331" s="68"/>
      <c r="K331" s="68"/>
      <c r="L331" s="68"/>
    </row>
    <row r="332" spans="5:12" ht="15.75" customHeight="1" x14ac:dyDescent="0.2">
      <c r="E332" s="68"/>
      <c r="F332" s="68"/>
      <c r="G332" s="68"/>
      <c r="H332" s="68"/>
      <c r="I332" s="68"/>
      <c r="J332" s="68"/>
      <c r="K332" s="68"/>
      <c r="L332" s="68"/>
    </row>
    <row r="333" spans="5:12" ht="15.75" customHeight="1" x14ac:dyDescent="0.2">
      <c r="E333" s="68"/>
      <c r="F333" s="68"/>
      <c r="G333" s="68"/>
      <c r="H333" s="68"/>
      <c r="I333" s="68"/>
      <c r="J333" s="68"/>
      <c r="K333" s="68"/>
      <c r="L333" s="68"/>
    </row>
    <row r="334" spans="5:12" ht="15.75" customHeight="1" x14ac:dyDescent="0.2">
      <c r="E334" s="68"/>
      <c r="F334" s="68"/>
      <c r="G334" s="68"/>
      <c r="H334" s="68"/>
      <c r="I334" s="68"/>
      <c r="J334" s="68"/>
      <c r="K334" s="68"/>
      <c r="L334" s="68"/>
    </row>
    <row r="335" spans="5:12" ht="15.75" customHeight="1" x14ac:dyDescent="0.2">
      <c r="E335" s="68"/>
      <c r="F335" s="68"/>
      <c r="G335" s="68"/>
      <c r="H335" s="68"/>
      <c r="I335" s="68"/>
      <c r="J335" s="68"/>
      <c r="K335" s="68"/>
      <c r="L335" s="68"/>
    </row>
    <row r="336" spans="5:12" ht="15.75" customHeight="1" x14ac:dyDescent="0.2">
      <c r="E336" s="68"/>
      <c r="F336" s="68"/>
      <c r="G336" s="68"/>
      <c r="H336" s="68"/>
      <c r="I336" s="68"/>
      <c r="J336" s="68"/>
      <c r="K336" s="68"/>
      <c r="L336" s="68"/>
    </row>
    <row r="337" spans="5:12" ht="15.75" customHeight="1" x14ac:dyDescent="0.2">
      <c r="E337" s="68"/>
      <c r="F337" s="68"/>
      <c r="G337" s="68"/>
      <c r="H337" s="68"/>
      <c r="I337" s="68"/>
      <c r="J337" s="68"/>
      <c r="K337" s="68"/>
      <c r="L337" s="68"/>
    </row>
    <row r="338" spans="5:12" ht="15.75" customHeight="1" x14ac:dyDescent="0.2">
      <c r="E338" s="68"/>
      <c r="F338" s="68"/>
      <c r="G338" s="68"/>
      <c r="H338" s="68"/>
      <c r="I338" s="68"/>
      <c r="J338" s="68"/>
      <c r="K338" s="68"/>
      <c r="L338" s="68"/>
    </row>
    <row r="339" spans="5:12" ht="15.75" customHeight="1" x14ac:dyDescent="0.2">
      <c r="E339" s="68"/>
      <c r="F339" s="68"/>
      <c r="G339" s="68"/>
      <c r="H339" s="68"/>
      <c r="I339" s="68"/>
      <c r="J339" s="68"/>
      <c r="K339" s="68"/>
      <c r="L339" s="68"/>
    </row>
    <row r="340" spans="5:12" ht="15.75" customHeight="1" x14ac:dyDescent="0.2">
      <c r="E340" s="68"/>
      <c r="F340" s="68"/>
      <c r="G340" s="68"/>
      <c r="H340" s="68"/>
      <c r="I340" s="68"/>
      <c r="J340" s="68"/>
      <c r="K340" s="68"/>
      <c r="L340" s="68"/>
    </row>
    <row r="341" spans="5:12" ht="15.75" customHeight="1" x14ac:dyDescent="0.2">
      <c r="E341" s="68"/>
      <c r="F341" s="68"/>
      <c r="G341" s="68"/>
      <c r="H341" s="68"/>
      <c r="I341" s="68"/>
      <c r="J341" s="68"/>
      <c r="K341" s="68"/>
      <c r="L341" s="68"/>
    </row>
    <row r="342" spans="5:12" ht="15.75" customHeight="1" x14ac:dyDescent="0.2">
      <c r="E342" s="68"/>
      <c r="F342" s="68"/>
      <c r="G342" s="68"/>
      <c r="H342" s="68"/>
      <c r="I342" s="68"/>
      <c r="J342" s="68"/>
      <c r="K342" s="68"/>
      <c r="L342" s="68"/>
    </row>
    <row r="343" spans="5:12" ht="15.75" customHeight="1" x14ac:dyDescent="0.2">
      <c r="E343" s="68"/>
      <c r="F343" s="68"/>
      <c r="G343" s="68"/>
      <c r="H343" s="68"/>
      <c r="I343" s="68"/>
      <c r="J343" s="68"/>
      <c r="K343" s="68"/>
      <c r="L343" s="68"/>
    </row>
    <row r="344" spans="5:12" ht="15.75" customHeight="1" x14ac:dyDescent="0.2">
      <c r="E344" s="68"/>
      <c r="F344" s="68"/>
      <c r="G344" s="68"/>
      <c r="H344" s="68"/>
      <c r="I344" s="68"/>
      <c r="J344" s="68"/>
      <c r="K344" s="68"/>
      <c r="L344" s="68"/>
    </row>
    <row r="345" spans="5:12" ht="15.75" customHeight="1" x14ac:dyDescent="0.2">
      <c r="E345" s="68"/>
      <c r="F345" s="68"/>
      <c r="G345" s="68"/>
      <c r="H345" s="68"/>
      <c r="I345" s="68"/>
      <c r="J345" s="68"/>
      <c r="K345" s="68"/>
      <c r="L345" s="68"/>
    </row>
    <row r="346" spans="5:12" ht="15.75" customHeight="1" x14ac:dyDescent="0.2">
      <c r="E346" s="68"/>
      <c r="F346" s="68"/>
      <c r="G346" s="68"/>
      <c r="H346" s="68"/>
      <c r="I346" s="68"/>
      <c r="J346" s="68"/>
      <c r="K346" s="68"/>
      <c r="L346" s="68"/>
    </row>
    <row r="347" spans="5:12" ht="15.75" customHeight="1" x14ac:dyDescent="0.2">
      <c r="E347" s="68"/>
      <c r="F347" s="68"/>
      <c r="G347" s="68"/>
      <c r="H347" s="68"/>
      <c r="I347" s="68"/>
      <c r="J347" s="68"/>
      <c r="K347" s="68"/>
      <c r="L347" s="68"/>
    </row>
    <row r="348" spans="5:12" ht="15.75" customHeight="1" x14ac:dyDescent="0.2">
      <c r="E348" s="68"/>
      <c r="F348" s="68"/>
      <c r="G348" s="68"/>
      <c r="H348" s="68"/>
      <c r="I348" s="68"/>
      <c r="J348" s="68"/>
      <c r="K348" s="68"/>
      <c r="L348" s="68"/>
    </row>
    <row r="349" spans="5:12" ht="15.75" customHeight="1" x14ac:dyDescent="0.2">
      <c r="E349" s="68"/>
      <c r="F349" s="68"/>
      <c r="G349" s="68"/>
      <c r="H349" s="68"/>
      <c r="I349" s="68"/>
      <c r="J349" s="68"/>
      <c r="K349" s="68"/>
      <c r="L349" s="68"/>
    </row>
    <row r="350" spans="5:12" ht="15.75" customHeight="1" x14ac:dyDescent="0.2">
      <c r="E350" s="68"/>
      <c r="F350" s="68"/>
      <c r="G350" s="68"/>
      <c r="H350" s="68"/>
      <c r="I350" s="68"/>
      <c r="J350" s="68"/>
      <c r="K350" s="68"/>
      <c r="L350" s="68"/>
    </row>
    <row r="351" spans="5:12" ht="15.75" customHeight="1" x14ac:dyDescent="0.2">
      <c r="E351" s="68"/>
      <c r="F351" s="68"/>
      <c r="G351" s="68"/>
      <c r="H351" s="68"/>
      <c r="I351" s="68"/>
      <c r="J351" s="68"/>
      <c r="K351" s="68"/>
      <c r="L351" s="68"/>
    </row>
    <row r="352" spans="5:12" ht="15.75" customHeight="1" x14ac:dyDescent="0.2">
      <c r="E352" s="68"/>
      <c r="F352" s="68"/>
      <c r="G352" s="68"/>
      <c r="H352" s="68"/>
      <c r="I352" s="68"/>
      <c r="J352" s="68"/>
      <c r="K352" s="68"/>
      <c r="L352" s="68"/>
    </row>
    <row r="353" spans="5:12" ht="15.75" customHeight="1" x14ac:dyDescent="0.2">
      <c r="E353" s="68"/>
      <c r="F353" s="68"/>
      <c r="G353" s="68"/>
      <c r="H353" s="68"/>
      <c r="I353" s="68"/>
      <c r="J353" s="68"/>
      <c r="K353" s="68"/>
      <c r="L353" s="68"/>
    </row>
    <row r="354" spans="5:12" ht="15.75" customHeight="1" x14ac:dyDescent="0.2">
      <c r="E354" s="68"/>
      <c r="F354" s="68"/>
      <c r="G354" s="68"/>
      <c r="H354" s="68"/>
      <c r="I354" s="68"/>
      <c r="J354" s="68"/>
      <c r="K354" s="68"/>
      <c r="L354" s="68"/>
    </row>
    <row r="355" spans="5:12" ht="15.75" customHeight="1" x14ac:dyDescent="0.2">
      <c r="E355" s="68"/>
      <c r="F355" s="68"/>
      <c r="G355" s="68"/>
      <c r="H355" s="68"/>
      <c r="I355" s="68"/>
      <c r="J355" s="68"/>
      <c r="K355" s="68"/>
      <c r="L355" s="68"/>
    </row>
    <row r="356" spans="5:12" ht="15.75" customHeight="1" x14ac:dyDescent="0.2">
      <c r="E356" s="68"/>
      <c r="F356" s="68"/>
      <c r="G356" s="68"/>
      <c r="H356" s="68"/>
      <c r="I356" s="68"/>
      <c r="J356" s="68"/>
      <c r="K356" s="68"/>
      <c r="L356" s="68"/>
    </row>
    <row r="357" spans="5:12" ht="15.75" customHeight="1" x14ac:dyDescent="0.2">
      <c r="E357" s="68"/>
      <c r="F357" s="68"/>
      <c r="G357" s="68"/>
      <c r="H357" s="68"/>
      <c r="I357" s="68"/>
      <c r="J357" s="68"/>
      <c r="K357" s="68"/>
      <c r="L357" s="68"/>
    </row>
    <row r="358" spans="5:12" ht="15.75" customHeight="1" x14ac:dyDescent="0.2">
      <c r="E358" s="68"/>
      <c r="F358" s="68"/>
      <c r="G358" s="68"/>
      <c r="H358" s="68"/>
      <c r="I358" s="68"/>
      <c r="J358" s="68"/>
      <c r="K358" s="68"/>
      <c r="L358" s="68"/>
    </row>
    <row r="359" spans="5:12" ht="15.75" customHeight="1" x14ac:dyDescent="0.2">
      <c r="E359" s="68"/>
      <c r="F359" s="68"/>
      <c r="G359" s="68"/>
      <c r="H359" s="68"/>
      <c r="I359" s="68"/>
      <c r="J359" s="68"/>
      <c r="K359" s="68"/>
      <c r="L359" s="68"/>
    </row>
    <row r="360" spans="5:12" ht="15.75" customHeight="1" x14ac:dyDescent="0.2">
      <c r="E360" s="68"/>
      <c r="F360" s="68"/>
      <c r="G360" s="68"/>
      <c r="H360" s="68"/>
      <c r="I360" s="68"/>
      <c r="J360" s="68"/>
      <c r="K360" s="68"/>
      <c r="L360" s="68"/>
    </row>
    <row r="361" spans="5:12" ht="15.75" customHeight="1" x14ac:dyDescent="0.2">
      <c r="E361" s="68"/>
      <c r="F361" s="68"/>
      <c r="G361" s="68"/>
      <c r="H361" s="68"/>
      <c r="I361" s="68"/>
      <c r="J361" s="68"/>
      <c r="K361" s="68"/>
      <c r="L361" s="68"/>
    </row>
    <row r="362" spans="5:12" ht="15.75" customHeight="1" x14ac:dyDescent="0.2">
      <c r="E362" s="68"/>
      <c r="F362" s="68"/>
      <c r="G362" s="68"/>
      <c r="H362" s="68"/>
      <c r="I362" s="68"/>
      <c r="J362" s="68"/>
      <c r="K362" s="68"/>
      <c r="L362" s="68"/>
    </row>
    <row r="363" spans="5:12" ht="15.75" customHeight="1" x14ac:dyDescent="0.2">
      <c r="E363" s="68"/>
      <c r="F363" s="68"/>
      <c r="G363" s="68"/>
      <c r="H363" s="68"/>
      <c r="I363" s="68"/>
      <c r="J363" s="68"/>
      <c r="K363" s="68"/>
      <c r="L363" s="68"/>
    </row>
    <row r="364" spans="5:12" ht="15.75" customHeight="1" x14ac:dyDescent="0.2">
      <c r="E364" s="68"/>
      <c r="F364" s="68"/>
      <c r="G364" s="68"/>
      <c r="H364" s="68"/>
      <c r="I364" s="68"/>
      <c r="J364" s="68"/>
      <c r="K364" s="68"/>
      <c r="L364" s="68"/>
    </row>
    <row r="365" spans="5:12" ht="15.75" customHeight="1" x14ac:dyDescent="0.2">
      <c r="E365" s="68"/>
      <c r="F365" s="68"/>
      <c r="G365" s="68"/>
      <c r="H365" s="68"/>
      <c r="I365" s="68"/>
      <c r="J365" s="68"/>
      <c r="K365" s="68"/>
      <c r="L365" s="68"/>
    </row>
    <row r="366" spans="5:12" ht="15.75" customHeight="1" x14ac:dyDescent="0.2">
      <c r="E366" s="68"/>
      <c r="F366" s="68"/>
      <c r="G366" s="68"/>
      <c r="H366" s="68"/>
      <c r="I366" s="68"/>
      <c r="J366" s="68"/>
      <c r="K366" s="68"/>
      <c r="L366" s="68"/>
    </row>
    <row r="367" spans="5:12" ht="15.75" customHeight="1" x14ac:dyDescent="0.2">
      <c r="E367" s="68"/>
      <c r="F367" s="68"/>
      <c r="G367" s="68"/>
      <c r="H367" s="68"/>
      <c r="I367" s="68"/>
      <c r="J367" s="68"/>
      <c r="K367" s="68"/>
      <c r="L367" s="68"/>
    </row>
    <row r="368" spans="5:12" ht="15.75" customHeight="1" x14ac:dyDescent="0.2">
      <c r="E368" s="68"/>
      <c r="F368" s="68"/>
      <c r="G368" s="68"/>
      <c r="H368" s="68"/>
      <c r="I368" s="68"/>
      <c r="J368" s="68"/>
      <c r="K368" s="68"/>
      <c r="L368" s="68"/>
    </row>
    <row r="369" spans="5:12" ht="15.75" customHeight="1" x14ac:dyDescent="0.2">
      <c r="E369" s="68"/>
      <c r="F369" s="68"/>
      <c r="G369" s="68"/>
      <c r="H369" s="68"/>
      <c r="I369" s="68"/>
      <c r="J369" s="68"/>
      <c r="K369" s="68"/>
      <c r="L369" s="68"/>
    </row>
    <row r="370" spans="5:12" ht="15.75" customHeight="1" x14ac:dyDescent="0.2">
      <c r="E370" s="68"/>
      <c r="F370" s="68"/>
      <c r="G370" s="68"/>
      <c r="H370" s="68"/>
      <c r="I370" s="68"/>
      <c r="J370" s="68"/>
      <c r="K370" s="68"/>
      <c r="L370" s="68"/>
    </row>
    <row r="371" spans="5:12" ht="15.75" customHeight="1" x14ac:dyDescent="0.2">
      <c r="E371" s="68"/>
      <c r="F371" s="68"/>
      <c r="G371" s="68"/>
      <c r="H371" s="68"/>
      <c r="I371" s="68"/>
      <c r="J371" s="68"/>
      <c r="K371" s="68"/>
      <c r="L371" s="68"/>
    </row>
    <row r="372" spans="5:12" ht="15.75" customHeight="1" x14ac:dyDescent="0.2">
      <c r="E372" s="68"/>
      <c r="F372" s="68"/>
      <c r="G372" s="68"/>
      <c r="H372" s="68"/>
      <c r="I372" s="68"/>
      <c r="J372" s="68"/>
      <c r="K372" s="68"/>
      <c r="L372" s="68"/>
    </row>
    <row r="373" spans="5:12" ht="15.75" customHeight="1" x14ac:dyDescent="0.2">
      <c r="E373" s="68"/>
      <c r="F373" s="68"/>
      <c r="G373" s="68"/>
      <c r="H373" s="68"/>
      <c r="I373" s="68"/>
      <c r="J373" s="68"/>
      <c r="K373" s="68"/>
      <c r="L373" s="68"/>
    </row>
    <row r="374" spans="5:12" ht="15.75" customHeight="1" x14ac:dyDescent="0.2">
      <c r="E374" s="68"/>
      <c r="F374" s="68"/>
      <c r="G374" s="68"/>
      <c r="H374" s="68"/>
      <c r="I374" s="68"/>
      <c r="J374" s="68"/>
      <c r="K374" s="68"/>
      <c r="L374" s="68"/>
    </row>
    <row r="375" spans="5:12" ht="15.75" customHeight="1" x14ac:dyDescent="0.2">
      <c r="E375" s="68"/>
      <c r="F375" s="68"/>
      <c r="G375" s="68"/>
      <c r="H375" s="68"/>
      <c r="I375" s="68"/>
      <c r="J375" s="68"/>
      <c r="K375" s="68"/>
      <c r="L375" s="68"/>
    </row>
    <row r="376" spans="5:12" ht="15.75" customHeight="1" x14ac:dyDescent="0.2">
      <c r="E376" s="68"/>
      <c r="F376" s="68"/>
      <c r="G376" s="68"/>
      <c r="H376" s="68"/>
      <c r="I376" s="68"/>
      <c r="J376" s="68"/>
      <c r="K376" s="68"/>
      <c r="L376" s="68"/>
    </row>
    <row r="377" spans="5:12" ht="15.75" customHeight="1" x14ac:dyDescent="0.2">
      <c r="E377" s="68"/>
      <c r="F377" s="68"/>
      <c r="G377" s="68"/>
      <c r="H377" s="68"/>
      <c r="I377" s="68"/>
      <c r="J377" s="68"/>
      <c r="K377" s="68"/>
      <c r="L377" s="68"/>
    </row>
    <row r="378" spans="5:12" ht="15.75" customHeight="1" x14ac:dyDescent="0.2">
      <c r="E378" s="68"/>
      <c r="F378" s="68"/>
      <c r="G378" s="68"/>
      <c r="H378" s="68"/>
      <c r="I378" s="68"/>
      <c r="J378" s="68"/>
      <c r="K378" s="68"/>
      <c r="L378" s="68"/>
    </row>
    <row r="379" spans="5:12" ht="15.75" customHeight="1" x14ac:dyDescent="0.2">
      <c r="E379" s="68"/>
      <c r="F379" s="68"/>
      <c r="G379" s="68"/>
      <c r="H379" s="68"/>
      <c r="I379" s="68"/>
      <c r="J379" s="68"/>
      <c r="K379" s="68"/>
      <c r="L379" s="68"/>
    </row>
    <row r="380" spans="5:12" ht="15.75" customHeight="1" x14ac:dyDescent="0.2">
      <c r="E380" s="68"/>
      <c r="F380" s="68"/>
      <c r="G380" s="68"/>
      <c r="H380" s="68"/>
      <c r="I380" s="68"/>
      <c r="J380" s="68"/>
      <c r="K380" s="68"/>
      <c r="L380" s="68"/>
    </row>
    <row r="381" spans="5:12" ht="15.75" customHeight="1" x14ac:dyDescent="0.2">
      <c r="E381" s="68"/>
      <c r="F381" s="68"/>
      <c r="G381" s="68"/>
      <c r="H381" s="68"/>
      <c r="I381" s="68"/>
      <c r="J381" s="68"/>
      <c r="K381" s="68"/>
      <c r="L381" s="68"/>
    </row>
    <row r="382" spans="5:12" ht="15.75" customHeight="1" x14ac:dyDescent="0.2">
      <c r="E382" s="68"/>
      <c r="F382" s="68"/>
      <c r="G382" s="68"/>
      <c r="H382" s="68"/>
      <c r="I382" s="68"/>
      <c r="J382" s="68"/>
      <c r="K382" s="68"/>
      <c r="L382" s="68"/>
    </row>
    <row r="383" spans="5:12" ht="15.75" customHeight="1" x14ac:dyDescent="0.2">
      <c r="E383" s="68"/>
      <c r="F383" s="68"/>
      <c r="G383" s="68"/>
      <c r="H383" s="68"/>
      <c r="I383" s="68"/>
      <c r="J383" s="68"/>
      <c r="K383" s="68"/>
      <c r="L383" s="68"/>
    </row>
    <row r="384" spans="5:12" ht="15.75" customHeight="1" x14ac:dyDescent="0.2">
      <c r="E384" s="68"/>
      <c r="F384" s="68"/>
      <c r="G384" s="68"/>
      <c r="H384" s="68"/>
      <c r="I384" s="68"/>
      <c r="J384" s="68"/>
      <c r="K384" s="68"/>
      <c r="L384" s="68"/>
    </row>
    <row r="385" spans="5:12" ht="15.75" customHeight="1" x14ac:dyDescent="0.2">
      <c r="E385" s="68"/>
      <c r="F385" s="68"/>
      <c r="G385" s="68"/>
      <c r="H385" s="68"/>
      <c r="I385" s="68"/>
      <c r="J385" s="68"/>
      <c r="K385" s="68"/>
      <c r="L385" s="68"/>
    </row>
    <row r="386" spans="5:12" ht="15.75" customHeight="1" x14ac:dyDescent="0.2">
      <c r="E386" s="68"/>
      <c r="F386" s="68"/>
      <c r="G386" s="68"/>
      <c r="H386" s="68"/>
      <c r="I386" s="68"/>
      <c r="J386" s="68"/>
      <c r="K386" s="68"/>
      <c r="L386" s="68"/>
    </row>
    <row r="387" spans="5:12" ht="15.75" customHeight="1" x14ac:dyDescent="0.2">
      <c r="E387" s="68"/>
      <c r="F387" s="68"/>
      <c r="G387" s="68"/>
      <c r="H387" s="68"/>
      <c r="I387" s="68"/>
      <c r="J387" s="68"/>
      <c r="K387" s="68"/>
      <c r="L387" s="68"/>
    </row>
    <row r="388" spans="5:12" ht="15.75" customHeight="1" x14ac:dyDescent="0.2">
      <c r="E388" s="68"/>
      <c r="F388" s="68"/>
      <c r="G388" s="68"/>
      <c r="H388" s="68"/>
      <c r="I388" s="68"/>
      <c r="J388" s="68"/>
      <c r="K388" s="68"/>
      <c r="L388" s="68"/>
    </row>
    <row r="389" spans="5:12" ht="15.75" customHeight="1" x14ac:dyDescent="0.2">
      <c r="E389" s="68"/>
      <c r="F389" s="68"/>
      <c r="G389" s="68"/>
      <c r="H389" s="68"/>
      <c r="I389" s="68"/>
      <c r="J389" s="68"/>
      <c r="K389" s="68"/>
      <c r="L389" s="68"/>
    </row>
    <row r="390" spans="5:12" ht="15.75" customHeight="1" x14ac:dyDescent="0.2">
      <c r="E390" s="68"/>
      <c r="F390" s="68"/>
      <c r="G390" s="68"/>
      <c r="H390" s="68"/>
      <c r="I390" s="68"/>
      <c r="J390" s="68"/>
      <c r="K390" s="68"/>
      <c r="L390" s="68"/>
    </row>
    <row r="391" spans="5:12" ht="15.75" customHeight="1" x14ac:dyDescent="0.2">
      <c r="E391" s="68"/>
      <c r="F391" s="68"/>
      <c r="G391" s="68"/>
      <c r="H391" s="68"/>
      <c r="I391" s="68"/>
      <c r="J391" s="68"/>
      <c r="K391" s="68"/>
      <c r="L391" s="68"/>
    </row>
    <row r="392" spans="5:12" ht="15.75" customHeight="1" x14ac:dyDescent="0.2">
      <c r="E392" s="68"/>
      <c r="F392" s="68"/>
      <c r="G392" s="68"/>
      <c r="H392" s="68"/>
      <c r="I392" s="68"/>
      <c r="J392" s="68"/>
      <c r="K392" s="68"/>
      <c r="L392" s="68"/>
    </row>
    <row r="393" spans="5:12" ht="15.75" customHeight="1" x14ac:dyDescent="0.2">
      <c r="E393" s="68"/>
      <c r="F393" s="68"/>
      <c r="G393" s="68"/>
      <c r="H393" s="68"/>
      <c r="I393" s="68"/>
      <c r="J393" s="68"/>
      <c r="K393" s="68"/>
      <c r="L393" s="68"/>
    </row>
    <row r="394" spans="5:12" ht="15.75" customHeight="1" x14ac:dyDescent="0.2">
      <c r="E394" s="68"/>
      <c r="F394" s="68"/>
      <c r="G394" s="68"/>
      <c r="H394" s="68"/>
      <c r="I394" s="68"/>
      <c r="J394" s="68"/>
      <c r="K394" s="68"/>
      <c r="L394" s="68"/>
    </row>
    <row r="395" spans="5:12" ht="15.75" customHeight="1" x14ac:dyDescent="0.2">
      <c r="E395" s="68"/>
      <c r="F395" s="68"/>
      <c r="G395" s="68"/>
      <c r="H395" s="68"/>
      <c r="I395" s="68"/>
      <c r="J395" s="68"/>
      <c r="K395" s="68"/>
      <c r="L395" s="68"/>
    </row>
    <row r="396" spans="5:12" ht="15.75" customHeight="1" x14ac:dyDescent="0.2">
      <c r="E396" s="68"/>
      <c r="F396" s="68"/>
      <c r="G396" s="68"/>
      <c r="H396" s="68"/>
      <c r="I396" s="68"/>
      <c r="J396" s="68"/>
      <c r="K396" s="68"/>
      <c r="L396" s="68"/>
    </row>
    <row r="397" spans="5:12" ht="15.75" customHeight="1" x14ac:dyDescent="0.2">
      <c r="E397" s="68"/>
      <c r="F397" s="68"/>
      <c r="G397" s="68"/>
      <c r="H397" s="68"/>
      <c r="I397" s="68"/>
      <c r="J397" s="68"/>
      <c r="K397" s="68"/>
      <c r="L397" s="68"/>
    </row>
    <row r="398" spans="5:12" ht="15.75" customHeight="1" x14ac:dyDescent="0.2">
      <c r="E398" s="68"/>
      <c r="F398" s="68"/>
      <c r="G398" s="68"/>
      <c r="H398" s="68"/>
      <c r="I398" s="68"/>
      <c r="J398" s="68"/>
      <c r="K398" s="68"/>
      <c r="L398" s="68"/>
    </row>
    <row r="399" spans="5:12" ht="15.75" customHeight="1" x14ac:dyDescent="0.2">
      <c r="E399" s="68"/>
      <c r="F399" s="68"/>
      <c r="G399" s="68"/>
      <c r="H399" s="68"/>
      <c r="I399" s="68"/>
      <c r="J399" s="68"/>
      <c r="K399" s="68"/>
      <c r="L399" s="68"/>
    </row>
    <row r="400" spans="5:12" ht="15.75" customHeight="1" x14ac:dyDescent="0.2">
      <c r="E400" s="68"/>
      <c r="F400" s="68"/>
      <c r="G400" s="68"/>
      <c r="H400" s="68"/>
      <c r="I400" s="68"/>
      <c r="J400" s="68"/>
      <c r="K400" s="68"/>
      <c r="L400" s="68"/>
    </row>
    <row r="401" spans="5:12" ht="15.75" customHeight="1" x14ac:dyDescent="0.2">
      <c r="E401" s="68"/>
      <c r="F401" s="68"/>
      <c r="G401" s="68"/>
      <c r="H401" s="68"/>
      <c r="I401" s="68"/>
      <c r="J401" s="68"/>
      <c r="K401" s="68"/>
      <c r="L401" s="68"/>
    </row>
    <row r="402" spans="5:12" ht="15.75" customHeight="1" x14ac:dyDescent="0.2">
      <c r="E402" s="68"/>
      <c r="F402" s="68"/>
      <c r="G402" s="68"/>
      <c r="H402" s="68"/>
      <c r="I402" s="68"/>
      <c r="J402" s="68"/>
      <c r="K402" s="68"/>
      <c r="L402" s="68"/>
    </row>
    <row r="403" spans="5:12" ht="15.75" customHeight="1" x14ac:dyDescent="0.2">
      <c r="E403" s="68"/>
      <c r="F403" s="68"/>
      <c r="G403" s="68"/>
      <c r="H403" s="68"/>
      <c r="I403" s="68"/>
      <c r="J403" s="68"/>
      <c r="K403" s="68"/>
      <c r="L403" s="68"/>
    </row>
    <row r="404" spans="5:12" ht="15.75" customHeight="1" x14ac:dyDescent="0.2">
      <c r="E404" s="68"/>
      <c r="F404" s="68"/>
      <c r="G404" s="68"/>
      <c r="H404" s="68"/>
      <c r="I404" s="68"/>
      <c r="J404" s="68"/>
      <c r="K404" s="68"/>
      <c r="L404" s="68"/>
    </row>
    <row r="405" spans="5:12" ht="15.75" customHeight="1" x14ac:dyDescent="0.2">
      <c r="E405" s="68"/>
      <c r="F405" s="68"/>
      <c r="G405" s="68"/>
      <c r="H405" s="68"/>
      <c r="I405" s="68"/>
      <c r="J405" s="68"/>
      <c r="K405" s="68"/>
      <c r="L405" s="68"/>
    </row>
    <row r="406" spans="5:12" ht="15.75" customHeight="1" x14ac:dyDescent="0.2">
      <c r="E406" s="68"/>
      <c r="F406" s="68"/>
      <c r="G406" s="68"/>
      <c r="H406" s="68"/>
      <c r="I406" s="68"/>
      <c r="J406" s="68"/>
      <c r="K406" s="68"/>
      <c r="L406" s="68"/>
    </row>
    <row r="407" spans="5:12" ht="15.75" customHeight="1" x14ac:dyDescent="0.2">
      <c r="E407" s="68"/>
      <c r="F407" s="68"/>
      <c r="G407" s="68"/>
      <c r="H407" s="68"/>
      <c r="I407" s="68"/>
      <c r="J407" s="68"/>
      <c r="K407" s="68"/>
      <c r="L407" s="68"/>
    </row>
    <row r="408" spans="5:12" ht="15.75" customHeight="1" x14ac:dyDescent="0.2">
      <c r="E408" s="68"/>
      <c r="F408" s="68"/>
      <c r="G408" s="68"/>
      <c r="H408" s="68"/>
      <c r="I408" s="68"/>
      <c r="J408" s="68"/>
      <c r="K408" s="68"/>
      <c r="L408" s="68"/>
    </row>
    <row r="409" spans="5:12" ht="15.75" customHeight="1" x14ac:dyDescent="0.2">
      <c r="E409" s="68"/>
      <c r="F409" s="68"/>
      <c r="G409" s="68"/>
      <c r="H409" s="68"/>
      <c r="I409" s="68"/>
      <c r="J409" s="68"/>
      <c r="K409" s="68"/>
      <c r="L409" s="68"/>
    </row>
    <row r="410" spans="5:12" ht="15.75" customHeight="1" x14ac:dyDescent="0.2">
      <c r="E410" s="68"/>
      <c r="F410" s="68"/>
      <c r="G410" s="68"/>
      <c r="H410" s="68"/>
      <c r="I410" s="68"/>
      <c r="J410" s="68"/>
      <c r="K410" s="68"/>
      <c r="L410" s="68"/>
    </row>
    <row r="411" spans="5:12" ht="15.75" customHeight="1" x14ac:dyDescent="0.2">
      <c r="E411" s="68"/>
      <c r="F411" s="68"/>
      <c r="G411" s="68"/>
      <c r="H411" s="68"/>
      <c r="I411" s="68"/>
      <c r="J411" s="68"/>
      <c r="K411" s="68"/>
      <c r="L411" s="68"/>
    </row>
    <row r="412" spans="5:12" ht="15.75" customHeight="1" x14ac:dyDescent="0.2">
      <c r="E412" s="68"/>
      <c r="F412" s="68"/>
      <c r="G412" s="68"/>
      <c r="H412" s="68"/>
      <c r="I412" s="68"/>
      <c r="J412" s="68"/>
      <c r="K412" s="68"/>
      <c r="L412" s="68"/>
    </row>
    <row r="413" spans="5:12" ht="15.75" customHeight="1" x14ac:dyDescent="0.2">
      <c r="E413" s="68"/>
      <c r="F413" s="68"/>
      <c r="G413" s="68"/>
      <c r="H413" s="68"/>
      <c r="I413" s="68"/>
      <c r="J413" s="68"/>
      <c r="K413" s="68"/>
      <c r="L413" s="68"/>
    </row>
    <row r="414" spans="5:12" ht="15.75" customHeight="1" x14ac:dyDescent="0.2">
      <c r="E414" s="68"/>
      <c r="F414" s="68"/>
      <c r="G414" s="68"/>
      <c r="H414" s="68"/>
      <c r="I414" s="68"/>
      <c r="J414" s="68"/>
      <c r="K414" s="68"/>
      <c r="L414" s="68"/>
    </row>
    <row r="415" spans="5:12" ht="15.75" customHeight="1" x14ac:dyDescent="0.2">
      <c r="E415" s="68"/>
      <c r="F415" s="68"/>
      <c r="G415" s="68"/>
      <c r="H415" s="68"/>
      <c r="I415" s="68"/>
      <c r="J415" s="68"/>
      <c r="K415" s="68"/>
      <c r="L415" s="68"/>
    </row>
    <row r="416" spans="5:12" ht="15.75" customHeight="1" x14ac:dyDescent="0.2">
      <c r="E416" s="68"/>
      <c r="F416" s="68"/>
      <c r="G416" s="68"/>
      <c r="H416" s="68"/>
      <c r="I416" s="68"/>
      <c r="J416" s="68"/>
      <c r="K416" s="68"/>
      <c r="L416" s="68"/>
    </row>
    <row r="417" spans="5:12" ht="15.75" customHeight="1" x14ac:dyDescent="0.2">
      <c r="E417" s="68"/>
      <c r="F417" s="68"/>
      <c r="G417" s="68"/>
      <c r="H417" s="68"/>
      <c r="I417" s="68"/>
      <c r="J417" s="68"/>
      <c r="K417" s="68"/>
      <c r="L417" s="68"/>
    </row>
    <row r="418" spans="5:12" ht="15.75" customHeight="1" x14ac:dyDescent="0.2">
      <c r="E418" s="68"/>
      <c r="F418" s="68"/>
      <c r="G418" s="68"/>
      <c r="H418" s="68"/>
      <c r="I418" s="68"/>
      <c r="J418" s="68"/>
      <c r="K418" s="68"/>
      <c r="L418" s="68"/>
    </row>
    <row r="419" spans="5:12" ht="15.75" customHeight="1" x14ac:dyDescent="0.2">
      <c r="E419" s="68"/>
      <c r="F419" s="68"/>
      <c r="G419" s="68"/>
      <c r="H419" s="68"/>
      <c r="I419" s="68"/>
      <c r="J419" s="68"/>
      <c r="K419" s="68"/>
      <c r="L419" s="68"/>
    </row>
    <row r="420" spans="5:12" ht="15.75" customHeight="1" x14ac:dyDescent="0.2">
      <c r="E420" s="68"/>
      <c r="F420" s="68"/>
      <c r="G420" s="68"/>
      <c r="H420" s="68"/>
      <c r="I420" s="68"/>
      <c r="J420" s="68"/>
      <c r="K420" s="68"/>
      <c r="L420" s="68"/>
    </row>
    <row r="421" spans="5:12" ht="15.75" customHeight="1" x14ac:dyDescent="0.2">
      <c r="E421" s="68"/>
      <c r="F421" s="68"/>
      <c r="G421" s="68"/>
      <c r="H421" s="68"/>
      <c r="I421" s="68"/>
      <c r="J421" s="68"/>
      <c r="K421" s="68"/>
      <c r="L421" s="68"/>
    </row>
    <row r="422" spans="5:12" ht="15.75" customHeight="1" x14ac:dyDescent="0.2">
      <c r="E422" s="68"/>
      <c r="F422" s="68"/>
      <c r="G422" s="68"/>
      <c r="H422" s="68"/>
      <c r="I422" s="68"/>
      <c r="J422" s="68"/>
      <c r="K422" s="68"/>
      <c r="L422" s="68"/>
    </row>
    <row r="423" spans="5:12" ht="15.75" customHeight="1" x14ac:dyDescent="0.2">
      <c r="E423" s="68"/>
      <c r="F423" s="68"/>
      <c r="G423" s="68"/>
      <c r="H423" s="68"/>
      <c r="I423" s="68"/>
      <c r="J423" s="68"/>
      <c r="K423" s="68"/>
      <c r="L423" s="68"/>
    </row>
    <row r="424" spans="5:12" ht="15.75" customHeight="1" x14ac:dyDescent="0.2">
      <c r="E424" s="68"/>
      <c r="F424" s="68"/>
      <c r="G424" s="68"/>
      <c r="H424" s="68"/>
      <c r="I424" s="68"/>
      <c r="J424" s="68"/>
      <c r="K424" s="68"/>
      <c r="L424" s="68"/>
    </row>
    <row r="425" spans="5:12" ht="15.75" customHeight="1" x14ac:dyDescent="0.2">
      <c r="E425" s="68"/>
      <c r="F425" s="68"/>
      <c r="G425" s="68"/>
      <c r="H425" s="68"/>
      <c r="I425" s="68"/>
      <c r="J425" s="68"/>
      <c r="K425" s="68"/>
      <c r="L425" s="68"/>
    </row>
    <row r="426" spans="5:12" ht="15.75" customHeight="1" x14ac:dyDescent="0.2">
      <c r="E426" s="68"/>
      <c r="F426" s="68"/>
      <c r="G426" s="68"/>
      <c r="H426" s="68"/>
      <c r="I426" s="68"/>
      <c r="J426" s="68"/>
      <c r="K426" s="68"/>
      <c r="L426" s="68"/>
    </row>
    <row r="427" spans="5:12" ht="15.75" customHeight="1" x14ac:dyDescent="0.2">
      <c r="E427" s="68"/>
      <c r="F427" s="68"/>
      <c r="G427" s="68"/>
      <c r="H427" s="68"/>
      <c r="I427" s="68"/>
      <c r="J427" s="68"/>
      <c r="K427" s="68"/>
      <c r="L427" s="68"/>
    </row>
    <row r="428" spans="5:12" ht="15.75" customHeight="1" x14ac:dyDescent="0.2">
      <c r="E428" s="68"/>
      <c r="F428" s="68"/>
      <c r="G428" s="68"/>
      <c r="H428" s="68"/>
      <c r="I428" s="68"/>
      <c r="J428" s="68"/>
      <c r="K428" s="68"/>
      <c r="L428" s="68"/>
    </row>
    <row r="429" spans="5:12" ht="15.75" customHeight="1" x14ac:dyDescent="0.2">
      <c r="E429" s="68"/>
      <c r="F429" s="68"/>
      <c r="G429" s="68"/>
      <c r="H429" s="68"/>
      <c r="I429" s="68"/>
      <c r="J429" s="68"/>
      <c r="K429" s="68"/>
      <c r="L429" s="68"/>
    </row>
    <row r="430" spans="5:12" ht="15.75" customHeight="1" x14ac:dyDescent="0.2">
      <c r="E430" s="68"/>
      <c r="F430" s="68"/>
      <c r="G430" s="68"/>
      <c r="H430" s="68"/>
      <c r="I430" s="68"/>
      <c r="J430" s="68"/>
      <c r="K430" s="68"/>
      <c r="L430" s="68"/>
    </row>
    <row r="431" spans="5:12" ht="15.75" customHeight="1" x14ac:dyDescent="0.2">
      <c r="E431" s="68"/>
      <c r="F431" s="68"/>
      <c r="G431" s="68"/>
      <c r="H431" s="68"/>
      <c r="I431" s="68"/>
      <c r="J431" s="68"/>
      <c r="K431" s="68"/>
      <c r="L431" s="68"/>
    </row>
    <row r="432" spans="5:12" ht="15.75" customHeight="1" x14ac:dyDescent="0.2">
      <c r="E432" s="68"/>
      <c r="F432" s="68"/>
      <c r="G432" s="68"/>
      <c r="H432" s="68"/>
      <c r="I432" s="68"/>
      <c r="J432" s="68"/>
      <c r="K432" s="68"/>
      <c r="L432" s="68"/>
    </row>
    <row r="433" spans="5:12" ht="15.75" customHeight="1" x14ac:dyDescent="0.2">
      <c r="E433" s="68"/>
      <c r="F433" s="68"/>
      <c r="G433" s="68"/>
      <c r="H433" s="68"/>
      <c r="I433" s="68"/>
      <c r="J433" s="68"/>
      <c r="K433" s="68"/>
      <c r="L433" s="68"/>
    </row>
    <row r="434" spans="5:12" ht="15.75" customHeight="1" x14ac:dyDescent="0.2">
      <c r="E434" s="68"/>
      <c r="F434" s="68"/>
      <c r="G434" s="68"/>
      <c r="H434" s="68"/>
      <c r="I434" s="68"/>
      <c r="J434" s="68"/>
      <c r="K434" s="68"/>
      <c r="L434" s="68"/>
    </row>
    <row r="435" spans="5:12" ht="15.75" customHeight="1" x14ac:dyDescent="0.2">
      <c r="E435" s="68"/>
      <c r="F435" s="68"/>
      <c r="G435" s="68"/>
      <c r="H435" s="68"/>
      <c r="I435" s="68"/>
      <c r="J435" s="68"/>
      <c r="K435" s="68"/>
      <c r="L435" s="68"/>
    </row>
    <row r="436" spans="5:12" ht="15.75" customHeight="1" x14ac:dyDescent="0.2">
      <c r="E436" s="68"/>
      <c r="F436" s="68"/>
      <c r="G436" s="68"/>
      <c r="H436" s="68"/>
      <c r="I436" s="68"/>
      <c r="J436" s="68"/>
      <c r="K436" s="68"/>
      <c r="L436" s="68"/>
    </row>
    <row r="437" spans="5:12" ht="15.75" customHeight="1" x14ac:dyDescent="0.2">
      <c r="E437" s="68"/>
      <c r="F437" s="68"/>
      <c r="G437" s="68"/>
      <c r="H437" s="68"/>
      <c r="I437" s="68"/>
      <c r="J437" s="68"/>
      <c r="K437" s="68"/>
      <c r="L437" s="68"/>
    </row>
    <row r="438" spans="5:12" ht="15.75" customHeight="1" x14ac:dyDescent="0.2">
      <c r="E438" s="68"/>
      <c r="F438" s="68"/>
      <c r="G438" s="68"/>
      <c r="H438" s="68"/>
      <c r="I438" s="68"/>
      <c r="J438" s="68"/>
      <c r="K438" s="68"/>
      <c r="L438" s="68"/>
    </row>
    <row r="439" spans="5:12" ht="15.75" customHeight="1" x14ac:dyDescent="0.2">
      <c r="E439" s="68"/>
      <c r="F439" s="68"/>
      <c r="G439" s="68"/>
      <c r="H439" s="68"/>
      <c r="I439" s="68"/>
      <c r="J439" s="68"/>
      <c r="K439" s="68"/>
      <c r="L439" s="68"/>
    </row>
    <row r="440" spans="5:12" ht="15.75" customHeight="1" x14ac:dyDescent="0.2">
      <c r="E440" s="68"/>
      <c r="F440" s="68"/>
      <c r="G440" s="68"/>
      <c r="H440" s="68"/>
      <c r="I440" s="68"/>
      <c r="J440" s="68"/>
      <c r="K440" s="68"/>
      <c r="L440" s="68"/>
    </row>
    <row r="441" spans="5:12" ht="15.75" customHeight="1" x14ac:dyDescent="0.2">
      <c r="E441" s="68"/>
      <c r="F441" s="68"/>
      <c r="G441" s="68"/>
      <c r="H441" s="68"/>
      <c r="I441" s="68"/>
      <c r="J441" s="68"/>
      <c r="K441" s="68"/>
      <c r="L441" s="68"/>
    </row>
    <row r="442" spans="5:12" ht="15.75" customHeight="1" x14ac:dyDescent="0.2">
      <c r="E442" s="68"/>
      <c r="F442" s="68"/>
      <c r="G442" s="68"/>
      <c r="H442" s="68"/>
      <c r="I442" s="68"/>
      <c r="J442" s="68"/>
      <c r="K442" s="68"/>
      <c r="L442" s="68"/>
    </row>
    <row r="443" spans="5:12" ht="15.75" customHeight="1" x14ac:dyDescent="0.2">
      <c r="E443" s="68"/>
      <c r="F443" s="68"/>
      <c r="G443" s="68"/>
      <c r="H443" s="68"/>
      <c r="I443" s="68"/>
      <c r="J443" s="68"/>
      <c r="K443" s="68"/>
      <c r="L443" s="68"/>
    </row>
    <row r="444" spans="5:12" ht="15.75" customHeight="1" x14ac:dyDescent="0.2">
      <c r="E444" s="68"/>
      <c r="F444" s="68"/>
      <c r="G444" s="68"/>
      <c r="H444" s="68"/>
      <c r="I444" s="68"/>
      <c r="J444" s="68"/>
      <c r="K444" s="68"/>
      <c r="L444" s="68"/>
    </row>
    <row r="445" spans="5:12" ht="15.75" customHeight="1" x14ac:dyDescent="0.2">
      <c r="E445" s="68"/>
      <c r="F445" s="68"/>
      <c r="G445" s="68"/>
      <c r="H445" s="68"/>
      <c r="I445" s="68"/>
      <c r="J445" s="68"/>
      <c r="K445" s="68"/>
      <c r="L445" s="68"/>
    </row>
    <row r="446" spans="5:12" ht="15.75" customHeight="1" x14ac:dyDescent="0.2">
      <c r="E446" s="68"/>
      <c r="F446" s="68"/>
      <c r="G446" s="68"/>
      <c r="H446" s="68"/>
      <c r="I446" s="68"/>
      <c r="J446" s="68"/>
      <c r="K446" s="68"/>
      <c r="L446" s="68"/>
    </row>
    <row r="447" spans="5:12" ht="15.75" customHeight="1" x14ac:dyDescent="0.2">
      <c r="E447" s="68"/>
      <c r="F447" s="68"/>
      <c r="G447" s="68"/>
      <c r="H447" s="68"/>
      <c r="I447" s="68"/>
      <c r="J447" s="68"/>
      <c r="K447" s="68"/>
      <c r="L447" s="68"/>
    </row>
    <row r="448" spans="5:12" ht="15.75" customHeight="1" x14ac:dyDescent="0.2">
      <c r="E448" s="68"/>
      <c r="F448" s="68"/>
      <c r="G448" s="68"/>
      <c r="H448" s="68"/>
      <c r="I448" s="68"/>
      <c r="J448" s="68"/>
      <c r="K448" s="68"/>
      <c r="L448" s="68"/>
    </row>
    <row r="449" spans="5:12" ht="15.75" customHeight="1" x14ac:dyDescent="0.2">
      <c r="E449" s="68"/>
      <c r="F449" s="68"/>
      <c r="G449" s="68"/>
      <c r="H449" s="68"/>
      <c r="I449" s="68"/>
      <c r="J449" s="68"/>
      <c r="K449" s="68"/>
      <c r="L449" s="68"/>
    </row>
    <row r="450" spans="5:12" ht="15.75" customHeight="1" x14ac:dyDescent="0.2">
      <c r="E450" s="68"/>
      <c r="F450" s="68"/>
      <c r="G450" s="68"/>
      <c r="H450" s="68"/>
      <c r="I450" s="68"/>
      <c r="J450" s="68"/>
      <c r="K450" s="68"/>
      <c r="L450" s="68"/>
    </row>
    <row r="451" spans="5:12" ht="15.75" customHeight="1" x14ac:dyDescent="0.2">
      <c r="E451" s="68"/>
      <c r="F451" s="68"/>
      <c r="G451" s="68"/>
      <c r="H451" s="68"/>
      <c r="I451" s="68"/>
      <c r="J451" s="68"/>
      <c r="K451" s="68"/>
      <c r="L451" s="68"/>
    </row>
    <row r="452" spans="5:12" ht="15.75" customHeight="1" x14ac:dyDescent="0.2">
      <c r="E452" s="68"/>
      <c r="F452" s="68"/>
      <c r="G452" s="68"/>
      <c r="H452" s="68"/>
      <c r="I452" s="68"/>
      <c r="J452" s="68"/>
      <c r="K452" s="68"/>
      <c r="L452" s="68"/>
    </row>
    <row r="453" spans="5:12" ht="15.75" customHeight="1" x14ac:dyDescent="0.2">
      <c r="E453" s="68"/>
      <c r="F453" s="68"/>
      <c r="G453" s="68"/>
      <c r="H453" s="68"/>
      <c r="I453" s="68"/>
      <c r="J453" s="68"/>
      <c r="K453" s="68"/>
      <c r="L453" s="68"/>
    </row>
    <row r="454" spans="5:12" ht="15.75" customHeight="1" x14ac:dyDescent="0.2">
      <c r="E454" s="68"/>
      <c r="F454" s="68"/>
      <c r="G454" s="68"/>
      <c r="H454" s="68"/>
      <c r="I454" s="68"/>
      <c r="J454" s="68"/>
      <c r="K454" s="68"/>
      <c r="L454" s="68"/>
    </row>
    <row r="455" spans="5:12" ht="15.75" customHeight="1" x14ac:dyDescent="0.2">
      <c r="E455" s="68"/>
      <c r="F455" s="68"/>
      <c r="G455" s="68"/>
      <c r="H455" s="68"/>
      <c r="I455" s="68"/>
      <c r="J455" s="68"/>
      <c r="K455" s="68"/>
      <c r="L455" s="68"/>
    </row>
    <row r="456" spans="5:12" ht="15.75" customHeight="1" x14ac:dyDescent="0.2">
      <c r="E456" s="68"/>
      <c r="F456" s="68"/>
      <c r="G456" s="68"/>
      <c r="H456" s="68"/>
      <c r="I456" s="68"/>
      <c r="J456" s="68"/>
      <c r="K456" s="68"/>
      <c r="L456" s="68"/>
    </row>
    <row r="457" spans="5:12" ht="15.75" customHeight="1" x14ac:dyDescent="0.2">
      <c r="E457" s="68"/>
      <c r="F457" s="68"/>
      <c r="G457" s="68"/>
      <c r="H457" s="68"/>
      <c r="I457" s="68"/>
      <c r="J457" s="68"/>
      <c r="K457" s="68"/>
      <c r="L457" s="68"/>
    </row>
    <row r="458" spans="5:12" ht="15.75" customHeight="1" x14ac:dyDescent="0.2">
      <c r="E458" s="68"/>
      <c r="F458" s="68"/>
      <c r="G458" s="68"/>
      <c r="H458" s="68"/>
      <c r="I458" s="68"/>
      <c r="J458" s="68"/>
      <c r="K458" s="68"/>
      <c r="L458" s="68"/>
    </row>
    <row r="459" spans="5:12" ht="15.75" customHeight="1" x14ac:dyDescent="0.2">
      <c r="E459" s="68"/>
      <c r="F459" s="68"/>
      <c r="G459" s="68"/>
      <c r="H459" s="68"/>
      <c r="I459" s="68"/>
      <c r="J459" s="68"/>
      <c r="K459" s="68"/>
      <c r="L459" s="68"/>
    </row>
    <row r="460" spans="5:12" ht="15.75" customHeight="1" x14ac:dyDescent="0.2">
      <c r="E460" s="68"/>
      <c r="F460" s="68"/>
      <c r="G460" s="68"/>
      <c r="H460" s="68"/>
      <c r="I460" s="68"/>
      <c r="J460" s="68"/>
      <c r="K460" s="68"/>
      <c r="L460" s="68"/>
    </row>
    <row r="461" spans="5:12" ht="15.75" customHeight="1" x14ac:dyDescent="0.2">
      <c r="E461" s="68"/>
      <c r="F461" s="68"/>
      <c r="G461" s="68"/>
      <c r="H461" s="68"/>
      <c r="I461" s="68"/>
      <c r="J461" s="68"/>
      <c r="K461" s="68"/>
      <c r="L461" s="68"/>
    </row>
    <row r="462" spans="5:12" ht="15.75" customHeight="1" x14ac:dyDescent="0.2">
      <c r="E462" s="68"/>
      <c r="F462" s="68"/>
      <c r="G462" s="68"/>
      <c r="H462" s="68"/>
      <c r="I462" s="68"/>
      <c r="J462" s="68"/>
      <c r="K462" s="68"/>
      <c r="L462" s="68"/>
    </row>
    <row r="463" spans="5:12" ht="15.75" customHeight="1" x14ac:dyDescent="0.2">
      <c r="E463" s="68"/>
      <c r="F463" s="68"/>
      <c r="G463" s="68"/>
      <c r="H463" s="68"/>
      <c r="I463" s="68"/>
      <c r="J463" s="68"/>
      <c r="K463" s="68"/>
      <c r="L463" s="68"/>
    </row>
    <row r="464" spans="5:12" ht="15.75" customHeight="1" x14ac:dyDescent="0.2">
      <c r="E464" s="68"/>
      <c r="F464" s="68"/>
      <c r="G464" s="68"/>
      <c r="H464" s="68"/>
      <c r="I464" s="68"/>
      <c r="J464" s="68"/>
      <c r="K464" s="68"/>
      <c r="L464" s="68"/>
    </row>
    <row r="465" spans="5:12" ht="15.75" customHeight="1" x14ac:dyDescent="0.2">
      <c r="E465" s="68"/>
      <c r="F465" s="68"/>
      <c r="G465" s="68"/>
      <c r="H465" s="68"/>
      <c r="I465" s="68"/>
      <c r="J465" s="68"/>
      <c r="K465" s="68"/>
      <c r="L465" s="68"/>
    </row>
    <row r="466" spans="5:12" ht="15.75" customHeight="1" x14ac:dyDescent="0.2">
      <c r="E466" s="68"/>
      <c r="F466" s="68"/>
      <c r="G466" s="68"/>
      <c r="H466" s="68"/>
      <c r="I466" s="68"/>
      <c r="J466" s="68"/>
      <c r="K466" s="68"/>
      <c r="L466" s="68"/>
    </row>
    <row r="467" spans="5:12" ht="15.75" customHeight="1" x14ac:dyDescent="0.2">
      <c r="E467" s="68"/>
      <c r="F467" s="68"/>
      <c r="G467" s="68"/>
      <c r="H467" s="68"/>
      <c r="I467" s="68"/>
      <c r="J467" s="68"/>
      <c r="K467" s="68"/>
      <c r="L467" s="68"/>
    </row>
    <row r="468" spans="5:12" ht="15.75" customHeight="1" x14ac:dyDescent="0.2">
      <c r="E468" s="68"/>
      <c r="F468" s="68"/>
      <c r="G468" s="68"/>
      <c r="H468" s="68"/>
      <c r="I468" s="68"/>
      <c r="J468" s="68"/>
      <c r="K468" s="68"/>
      <c r="L468" s="68"/>
    </row>
    <row r="469" spans="5:12" ht="15.75" customHeight="1" x14ac:dyDescent="0.2">
      <c r="E469" s="68"/>
      <c r="F469" s="68"/>
      <c r="G469" s="68"/>
      <c r="H469" s="68"/>
      <c r="I469" s="68"/>
      <c r="J469" s="68"/>
      <c r="K469" s="68"/>
      <c r="L469" s="68"/>
    </row>
    <row r="470" spans="5:12" ht="15.75" customHeight="1" x14ac:dyDescent="0.2">
      <c r="E470" s="68"/>
      <c r="F470" s="68"/>
      <c r="G470" s="68"/>
      <c r="H470" s="68"/>
      <c r="I470" s="68"/>
      <c r="J470" s="68"/>
      <c r="K470" s="68"/>
      <c r="L470" s="68"/>
    </row>
    <row r="471" spans="5:12" ht="15.75" customHeight="1" x14ac:dyDescent="0.2">
      <c r="E471" s="68"/>
      <c r="F471" s="68"/>
      <c r="G471" s="68"/>
      <c r="H471" s="68"/>
      <c r="I471" s="68"/>
      <c r="J471" s="68"/>
      <c r="K471" s="68"/>
      <c r="L471" s="68"/>
    </row>
    <row r="472" spans="5:12" ht="15.75" customHeight="1" x14ac:dyDescent="0.2">
      <c r="E472" s="68"/>
      <c r="F472" s="68"/>
      <c r="G472" s="68"/>
      <c r="H472" s="68"/>
      <c r="I472" s="68"/>
      <c r="J472" s="68"/>
      <c r="K472" s="68"/>
      <c r="L472" s="68"/>
    </row>
    <row r="473" spans="5:12" ht="15.75" customHeight="1" x14ac:dyDescent="0.2">
      <c r="E473" s="68"/>
      <c r="F473" s="68"/>
      <c r="G473" s="68"/>
      <c r="H473" s="68"/>
      <c r="I473" s="68"/>
      <c r="J473" s="68"/>
      <c r="K473" s="68"/>
      <c r="L473" s="68"/>
    </row>
    <row r="474" spans="5:12" ht="15.75" customHeight="1" x14ac:dyDescent="0.2">
      <c r="E474" s="68"/>
      <c r="F474" s="68"/>
      <c r="G474" s="68"/>
      <c r="H474" s="68"/>
      <c r="I474" s="68"/>
      <c r="J474" s="68"/>
      <c r="K474" s="68"/>
      <c r="L474" s="68"/>
    </row>
    <row r="475" spans="5:12" ht="15.75" customHeight="1" x14ac:dyDescent="0.2">
      <c r="E475" s="68"/>
      <c r="F475" s="68"/>
      <c r="G475" s="68"/>
      <c r="H475" s="68"/>
      <c r="I475" s="68"/>
      <c r="J475" s="68"/>
      <c r="K475" s="68"/>
      <c r="L475" s="68"/>
    </row>
    <row r="476" spans="5:12" ht="15.75" customHeight="1" x14ac:dyDescent="0.2">
      <c r="E476" s="68"/>
      <c r="F476" s="68"/>
      <c r="G476" s="68"/>
      <c r="H476" s="68"/>
      <c r="I476" s="68"/>
      <c r="J476" s="68"/>
      <c r="K476" s="68"/>
      <c r="L476" s="68"/>
    </row>
    <row r="477" spans="5:12" ht="15.75" customHeight="1" x14ac:dyDescent="0.2">
      <c r="E477" s="68"/>
      <c r="F477" s="68"/>
      <c r="G477" s="68"/>
      <c r="H477" s="68"/>
      <c r="I477" s="68"/>
      <c r="J477" s="68"/>
      <c r="K477" s="68"/>
      <c r="L477" s="68"/>
    </row>
    <row r="478" spans="5:12" ht="15.75" customHeight="1" x14ac:dyDescent="0.2">
      <c r="E478" s="68"/>
      <c r="F478" s="68"/>
      <c r="G478" s="68"/>
      <c r="H478" s="68"/>
      <c r="I478" s="68"/>
      <c r="J478" s="68"/>
      <c r="K478" s="68"/>
      <c r="L478" s="68"/>
    </row>
    <row r="479" spans="5:12" ht="15.75" customHeight="1" x14ac:dyDescent="0.2">
      <c r="E479" s="68"/>
      <c r="F479" s="68"/>
      <c r="G479" s="68"/>
      <c r="H479" s="68"/>
      <c r="I479" s="68"/>
      <c r="J479" s="68"/>
      <c r="K479" s="68"/>
      <c r="L479" s="68"/>
    </row>
    <row r="480" spans="5:12" ht="15.75" customHeight="1" x14ac:dyDescent="0.2">
      <c r="E480" s="68"/>
      <c r="F480" s="68"/>
      <c r="G480" s="68"/>
      <c r="H480" s="68"/>
      <c r="I480" s="68"/>
      <c r="J480" s="68"/>
      <c r="K480" s="68"/>
      <c r="L480" s="68"/>
    </row>
    <row r="481" spans="5:12" ht="15.75" customHeight="1" x14ac:dyDescent="0.2">
      <c r="E481" s="68"/>
      <c r="F481" s="68"/>
      <c r="G481" s="68"/>
      <c r="H481" s="68"/>
      <c r="I481" s="68"/>
      <c r="J481" s="68"/>
      <c r="K481" s="68"/>
      <c r="L481" s="68"/>
    </row>
    <row r="482" spans="5:12" ht="15.75" customHeight="1" x14ac:dyDescent="0.2">
      <c r="E482" s="68"/>
      <c r="F482" s="68"/>
      <c r="G482" s="68"/>
      <c r="H482" s="68"/>
      <c r="I482" s="68"/>
      <c r="J482" s="68"/>
      <c r="K482" s="68"/>
      <c r="L482" s="68"/>
    </row>
    <row r="483" spans="5:12" ht="15.75" customHeight="1" x14ac:dyDescent="0.2">
      <c r="E483" s="68"/>
      <c r="F483" s="68"/>
      <c r="G483" s="68"/>
      <c r="H483" s="68"/>
      <c r="I483" s="68"/>
      <c r="J483" s="68"/>
      <c r="K483" s="68"/>
      <c r="L483" s="68"/>
    </row>
    <row r="484" spans="5:12" ht="15.75" customHeight="1" x14ac:dyDescent="0.2">
      <c r="E484" s="68"/>
      <c r="F484" s="68"/>
      <c r="G484" s="68"/>
      <c r="H484" s="68"/>
      <c r="I484" s="68"/>
      <c r="J484" s="68"/>
      <c r="K484" s="68"/>
      <c r="L484" s="68"/>
    </row>
    <row r="485" spans="5:12" ht="15.75" customHeight="1" x14ac:dyDescent="0.2">
      <c r="E485" s="68"/>
      <c r="F485" s="68"/>
      <c r="G485" s="68"/>
      <c r="H485" s="68"/>
      <c r="I485" s="68"/>
      <c r="J485" s="68"/>
      <c r="K485" s="68"/>
      <c r="L485" s="68"/>
    </row>
    <row r="486" spans="5:12" ht="15.75" customHeight="1" x14ac:dyDescent="0.2">
      <c r="E486" s="68"/>
      <c r="F486" s="68"/>
      <c r="G486" s="68"/>
      <c r="H486" s="68"/>
      <c r="I486" s="68"/>
      <c r="J486" s="68"/>
      <c r="K486" s="68"/>
      <c r="L486" s="68"/>
    </row>
    <row r="487" spans="5:12" ht="15.75" customHeight="1" x14ac:dyDescent="0.2">
      <c r="E487" s="68"/>
      <c r="F487" s="68"/>
      <c r="G487" s="68"/>
      <c r="H487" s="68"/>
      <c r="I487" s="68"/>
      <c r="J487" s="68"/>
      <c r="K487" s="68"/>
      <c r="L487" s="68"/>
    </row>
    <row r="488" spans="5:12" ht="15.75" customHeight="1" x14ac:dyDescent="0.2">
      <c r="E488" s="68"/>
      <c r="F488" s="68"/>
      <c r="G488" s="68"/>
      <c r="H488" s="68"/>
      <c r="I488" s="68"/>
      <c r="J488" s="68"/>
      <c r="K488" s="68"/>
      <c r="L488" s="68"/>
    </row>
    <row r="489" spans="5:12" ht="15.75" customHeight="1" x14ac:dyDescent="0.2">
      <c r="E489" s="68"/>
      <c r="F489" s="68"/>
      <c r="G489" s="68"/>
      <c r="H489" s="68"/>
      <c r="I489" s="68"/>
      <c r="J489" s="68"/>
      <c r="K489" s="68"/>
      <c r="L489" s="68"/>
    </row>
    <row r="490" spans="5:12" ht="15.75" customHeight="1" x14ac:dyDescent="0.2">
      <c r="E490" s="68"/>
      <c r="F490" s="68"/>
      <c r="G490" s="68"/>
      <c r="H490" s="68"/>
      <c r="I490" s="68"/>
      <c r="J490" s="68"/>
      <c r="K490" s="68"/>
      <c r="L490" s="68"/>
    </row>
    <row r="491" spans="5:12" ht="15.75" customHeight="1" x14ac:dyDescent="0.2">
      <c r="E491" s="68"/>
      <c r="F491" s="68"/>
      <c r="G491" s="68"/>
      <c r="H491" s="68"/>
      <c r="I491" s="68"/>
      <c r="J491" s="68"/>
      <c r="K491" s="68"/>
      <c r="L491" s="68"/>
    </row>
    <row r="492" spans="5:12" ht="15.75" customHeight="1" x14ac:dyDescent="0.2">
      <c r="E492" s="68"/>
      <c r="F492" s="68"/>
      <c r="G492" s="68"/>
      <c r="H492" s="68"/>
      <c r="I492" s="68"/>
      <c r="J492" s="68"/>
      <c r="K492" s="68"/>
      <c r="L492" s="68"/>
    </row>
    <row r="493" spans="5:12" ht="15.75" customHeight="1" x14ac:dyDescent="0.2">
      <c r="E493" s="68"/>
      <c r="F493" s="68"/>
      <c r="G493" s="68"/>
      <c r="H493" s="68"/>
      <c r="I493" s="68"/>
      <c r="J493" s="68"/>
      <c r="K493" s="68"/>
      <c r="L493" s="68"/>
    </row>
    <row r="494" spans="5:12" ht="15.75" customHeight="1" x14ac:dyDescent="0.2">
      <c r="E494" s="68"/>
      <c r="F494" s="68"/>
      <c r="G494" s="68"/>
      <c r="H494" s="68"/>
      <c r="I494" s="68"/>
      <c r="J494" s="68"/>
      <c r="K494" s="68"/>
      <c r="L494" s="68"/>
    </row>
    <row r="495" spans="5:12" ht="15.75" customHeight="1" x14ac:dyDescent="0.2">
      <c r="E495" s="68"/>
      <c r="F495" s="68"/>
      <c r="G495" s="68"/>
      <c r="H495" s="68"/>
      <c r="I495" s="68"/>
      <c r="J495" s="68"/>
      <c r="K495" s="68"/>
      <c r="L495" s="68"/>
    </row>
    <row r="496" spans="5:12" ht="15.75" customHeight="1" x14ac:dyDescent="0.2">
      <c r="E496" s="68"/>
      <c r="F496" s="68"/>
      <c r="G496" s="68"/>
      <c r="H496" s="68"/>
      <c r="I496" s="68"/>
      <c r="J496" s="68"/>
      <c r="K496" s="68"/>
      <c r="L496" s="68"/>
    </row>
    <row r="497" spans="5:12" ht="15.75" customHeight="1" x14ac:dyDescent="0.2">
      <c r="E497" s="68"/>
      <c r="F497" s="68"/>
      <c r="G497" s="68"/>
      <c r="H497" s="68"/>
      <c r="I497" s="68"/>
      <c r="J497" s="68"/>
      <c r="K497" s="68"/>
      <c r="L497" s="68"/>
    </row>
    <row r="498" spans="5:12" ht="15.75" customHeight="1" x14ac:dyDescent="0.2">
      <c r="E498" s="68"/>
      <c r="F498" s="68"/>
      <c r="G498" s="68"/>
      <c r="H498" s="68"/>
      <c r="I498" s="68"/>
      <c r="J498" s="68"/>
      <c r="K498" s="68"/>
      <c r="L498" s="68"/>
    </row>
    <row r="499" spans="5:12" ht="15.75" customHeight="1" x14ac:dyDescent="0.2">
      <c r="E499" s="68"/>
      <c r="F499" s="68"/>
      <c r="G499" s="68"/>
      <c r="H499" s="68"/>
      <c r="I499" s="68"/>
      <c r="J499" s="68"/>
      <c r="K499" s="68"/>
      <c r="L499" s="68"/>
    </row>
    <row r="500" spans="5:12" ht="15.75" customHeight="1" x14ac:dyDescent="0.2">
      <c r="E500" s="68"/>
      <c r="F500" s="68"/>
      <c r="G500" s="68"/>
      <c r="H500" s="68"/>
      <c r="I500" s="68"/>
      <c r="J500" s="68"/>
      <c r="K500" s="68"/>
      <c r="L500" s="68"/>
    </row>
    <row r="501" spans="5:12" ht="15.75" customHeight="1" x14ac:dyDescent="0.2">
      <c r="E501" s="68"/>
      <c r="F501" s="68"/>
      <c r="G501" s="68"/>
      <c r="H501" s="68"/>
      <c r="I501" s="68"/>
      <c r="J501" s="68"/>
      <c r="K501" s="68"/>
      <c r="L501" s="68"/>
    </row>
    <row r="502" spans="5:12" ht="15.75" customHeight="1" x14ac:dyDescent="0.2">
      <c r="E502" s="68"/>
      <c r="F502" s="68"/>
      <c r="G502" s="68"/>
      <c r="H502" s="68"/>
      <c r="I502" s="68"/>
      <c r="J502" s="68"/>
      <c r="K502" s="68"/>
      <c r="L502" s="68"/>
    </row>
    <row r="503" spans="5:12" ht="15.75" customHeight="1" x14ac:dyDescent="0.2">
      <c r="E503" s="68"/>
      <c r="F503" s="68"/>
      <c r="G503" s="68"/>
      <c r="H503" s="68"/>
      <c r="I503" s="68"/>
      <c r="J503" s="68"/>
      <c r="K503" s="68"/>
      <c r="L503" s="68"/>
    </row>
    <row r="504" spans="5:12" ht="15.75" customHeight="1" x14ac:dyDescent="0.2">
      <c r="E504" s="68"/>
      <c r="F504" s="68"/>
      <c r="G504" s="68"/>
      <c r="H504" s="68"/>
      <c r="I504" s="68"/>
      <c r="J504" s="68"/>
      <c r="K504" s="68"/>
      <c r="L504" s="68"/>
    </row>
    <row r="505" spans="5:12" ht="15.75" customHeight="1" x14ac:dyDescent="0.2">
      <c r="E505" s="68"/>
      <c r="F505" s="68"/>
      <c r="G505" s="68"/>
      <c r="H505" s="68"/>
      <c r="I505" s="68"/>
      <c r="J505" s="68"/>
      <c r="K505" s="68"/>
      <c r="L505" s="68"/>
    </row>
    <row r="506" spans="5:12" ht="15.75" customHeight="1" x14ac:dyDescent="0.2">
      <c r="E506" s="68"/>
      <c r="F506" s="68"/>
      <c r="G506" s="68"/>
      <c r="H506" s="68"/>
      <c r="I506" s="68"/>
      <c r="J506" s="68"/>
      <c r="K506" s="68"/>
      <c r="L506" s="68"/>
    </row>
    <row r="507" spans="5:12" ht="15.75" customHeight="1" x14ac:dyDescent="0.2">
      <c r="E507" s="68"/>
      <c r="F507" s="68"/>
      <c r="G507" s="68"/>
      <c r="H507" s="68"/>
      <c r="I507" s="68"/>
      <c r="J507" s="68"/>
      <c r="K507" s="68"/>
      <c r="L507" s="68"/>
    </row>
    <row r="508" spans="5:12" ht="15.75" customHeight="1" x14ac:dyDescent="0.2">
      <c r="E508" s="68"/>
      <c r="F508" s="68"/>
      <c r="G508" s="68"/>
      <c r="H508" s="68"/>
      <c r="I508" s="68"/>
      <c r="J508" s="68"/>
      <c r="K508" s="68"/>
      <c r="L508" s="68"/>
    </row>
    <row r="509" spans="5:12" ht="15.75" customHeight="1" x14ac:dyDescent="0.2">
      <c r="E509" s="68"/>
      <c r="F509" s="68"/>
      <c r="G509" s="68"/>
      <c r="H509" s="68"/>
      <c r="I509" s="68"/>
      <c r="J509" s="68"/>
      <c r="K509" s="68"/>
      <c r="L509" s="68"/>
    </row>
    <row r="510" spans="5:12" ht="15.75" customHeight="1" x14ac:dyDescent="0.2">
      <c r="E510" s="68"/>
      <c r="F510" s="68"/>
      <c r="G510" s="68"/>
      <c r="H510" s="68"/>
      <c r="I510" s="68"/>
      <c r="J510" s="68"/>
      <c r="K510" s="68"/>
      <c r="L510" s="68"/>
    </row>
    <row r="511" spans="5:12" ht="15.75" customHeight="1" x14ac:dyDescent="0.2">
      <c r="E511" s="68"/>
      <c r="F511" s="68"/>
      <c r="G511" s="68"/>
      <c r="H511" s="68"/>
      <c r="I511" s="68"/>
      <c r="J511" s="68"/>
      <c r="K511" s="68"/>
      <c r="L511" s="68"/>
    </row>
    <row r="512" spans="5:12" ht="15.75" customHeight="1" x14ac:dyDescent="0.2">
      <c r="E512" s="68"/>
      <c r="F512" s="68"/>
      <c r="G512" s="68"/>
      <c r="H512" s="68"/>
      <c r="I512" s="68"/>
      <c r="J512" s="68"/>
      <c r="K512" s="68"/>
      <c r="L512" s="68"/>
    </row>
    <row r="513" spans="5:12" ht="15.75" customHeight="1" x14ac:dyDescent="0.2">
      <c r="E513" s="68"/>
      <c r="F513" s="68"/>
      <c r="G513" s="68"/>
      <c r="H513" s="68"/>
      <c r="I513" s="68"/>
      <c r="J513" s="68"/>
      <c r="K513" s="68"/>
      <c r="L513" s="68"/>
    </row>
    <row r="514" spans="5:12" ht="15.75" customHeight="1" x14ac:dyDescent="0.2">
      <c r="E514" s="68"/>
      <c r="F514" s="68"/>
      <c r="G514" s="68"/>
      <c r="H514" s="68"/>
      <c r="I514" s="68"/>
      <c r="J514" s="68"/>
      <c r="K514" s="68"/>
      <c r="L514" s="68"/>
    </row>
    <row r="515" spans="5:12" ht="15.75" customHeight="1" x14ac:dyDescent="0.2">
      <c r="E515" s="68"/>
      <c r="F515" s="68"/>
      <c r="G515" s="68"/>
      <c r="H515" s="68"/>
      <c r="I515" s="68"/>
      <c r="J515" s="68"/>
      <c r="K515" s="68"/>
      <c r="L515" s="68"/>
    </row>
    <row r="516" spans="5:12" ht="15.75" customHeight="1" x14ac:dyDescent="0.2">
      <c r="E516" s="68"/>
      <c r="F516" s="68"/>
      <c r="G516" s="68"/>
      <c r="H516" s="68"/>
      <c r="I516" s="68"/>
      <c r="J516" s="68"/>
      <c r="K516" s="68"/>
      <c r="L516" s="68"/>
    </row>
    <row r="517" spans="5:12" ht="15.75" customHeight="1" x14ac:dyDescent="0.2">
      <c r="E517" s="68"/>
      <c r="F517" s="68"/>
      <c r="G517" s="68"/>
      <c r="H517" s="68"/>
      <c r="I517" s="68"/>
      <c r="J517" s="68"/>
      <c r="K517" s="68"/>
      <c r="L517" s="68"/>
    </row>
    <row r="518" spans="5:12" ht="15.75" customHeight="1" x14ac:dyDescent="0.2">
      <c r="E518" s="68"/>
      <c r="F518" s="68"/>
      <c r="G518" s="68"/>
      <c r="H518" s="68"/>
      <c r="I518" s="68"/>
      <c r="J518" s="68"/>
      <c r="K518" s="68"/>
      <c r="L518" s="68"/>
    </row>
    <row r="519" spans="5:12" ht="15.75" customHeight="1" x14ac:dyDescent="0.2">
      <c r="E519" s="68"/>
      <c r="F519" s="68"/>
      <c r="G519" s="68"/>
      <c r="H519" s="68"/>
      <c r="I519" s="68"/>
      <c r="J519" s="68"/>
      <c r="K519" s="68"/>
      <c r="L519" s="68"/>
    </row>
    <row r="520" spans="5:12" ht="15.75" customHeight="1" x14ac:dyDescent="0.2">
      <c r="E520" s="68"/>
      <c r="F520" s="68"/>
      <c r="G520" s="68"/>
      <c r="H520" s="68"/>
      <c r="I520" s="68"/>
      <c r="J520" s="68"/>
      <c r="K520" s="68"/>
      <c r="L520" s="68"/>
    </row>
    <row r="521" spans="5:12" ht="15.75" customHeight="1" x14ac:dyDescent="0.2">
      <c r="E521" s="68"/>
      <c r="F521" s="68"/>
      <c r="G521" s="68"/>
      <c r="H521" s="68"/>
      <c r="I521" s="68"/>
      <c r="J521" s="68"/>
      <c r="K521" s="68"/>
      <c r="L521" s="68"/>
    </row>
    <row r="522" spans="5:12" ht="15.75" customHeight="1" x14ac:dyDescent="0.2">
      <c r="E522" s="68"/>
      <c r="F522" s="68"/>
      <c r="G522" s="68"/>
      <c r="H522" s="68"/>
      <c r="I522" s="68"/>
      <c r="J522" s="68"/>
      <c r="K522" s="68"/>
      <c r="L522" s="68"/>
    </row>
    <row r="523" spans="5:12" ht="15.75" customHeight="1" x14ac:dyDescent="0.2">
      <c r="E523" s="68"/>
      <c r="F523" s="68"/>
      <c r="G523" s="68"/>
      <c r="H523" s="68"/>
      <c r="I523" s="68"/>
      <c r="J523" s="68"/>
      <c r="K523" s="68"/>
      <c r="L523" s="68"/>
    </row>
    <row r="524" spans="5:12" ht="15.75" customHeight="1" x14ac:dyDescent="0.2">
      <c r="E524" s="68"/>
      <c r="F524" s="68"/>
      <c r="G524" s="68"/>
      <c r="H524" s="68"/>
      <c r="I524" s="68"/>
      <c r="J524" s="68"/>
      <c r="K524" s="68"/>
      <c r="L524" s="68"/>
    </row>
    <row r="525" spans="5:12" ht="15.75" customHeight="1" x14ac:dyDescent="0.2">
      <c r="E525" s="68"/>
      <c r="F525" s="68"/>
      <c r="G525" s="68"/>
      <c r="H525" s="68"/>
      <c r="I525" s="68"/>
      <c r="J525" s="68"/>
      <c r="K525" s="68"/>
      <c r="L525" s="68"/>
    </row>
    <row r="526" spans="5:12" ht="15.75" customHeight="1" x14ac:dyDescent="0.2">
      <c r="E526" s="68"/>
      <c r="F526" s="68"/>
      <c r="G526" s="68"/>
      <c r="H526" s="68"/>
      <c r="I526" s="68"/>
      <c r="J526" s="68"/>
      <c r="K526" s="68"/>
      <c r="L526" s="68"/>
    </row>
    <row r="527" spans="5:12" ht="15.75" customHeight="1" x14ac:dyDescent="0.2">
      <c r="E527" s="68"/>
      <c r="F527" s="68"/>
      <c r="G527" s="68"/>
      <c r="H527" s="68"/>
      <c r="I527" s="68"/>
      <c r="J527" s="68"/>
      <c r="K527" s="68"/>
      <c r="L527" s="68"/>
    </row>
    <row r="528" spans="5:12" ht="15.75" customHeight="1" x14ac:dyDescent="0.2">
      <c r="E528" s="68"/>
      <c r="F528" s="68"/>
      <c r="G528" s="68"/>
      <c r="H528" s="68"/>
      <c r="I528" s="68"/>
      <c r="J528" s="68"/>
      <c r="K528" s="68"/>
      <c r="L528" s="68"/>
    </row>
    <row r="529" spans="5:12" ht="15.75" customHeight="1" x14ac:dyDescent="0.2">
      <c r="E529" s="68"/>
      <c r="F529" s="68"/>
      <c r="G529" s="68"/>
      <c r="H529" s="68"/>
      <c r="I529" s="68"/>
      <c r="J529" s="68"/>
      <c r="K529" s="68"/>
      <c r="L529" s="68"/>
    </row>
    <row r="530" spans="5:12" ht="15.75" customHeight="1" x14ac:dyDescent="0.2">
      <c r="E530" s="68"/>
      <c r="F530" s="68"/>
      <c r="G530" s="68"/>
      <c r="H530" s="68"/>
      <c r="I530" s="68"/>
      <c r="J530" s="68"/>
      <c r="K530" s="68"/>
      <c r="L530" s="68"/>
    </row>
    <row r="531" spans="5:12" ht="15.75" customHeight="1" x14ac:dyDescent="0.2">
      <c r="E531" s="68"/>
      <c r="F531" s="68"/>
      <c r="G531" s="68"/>
      <c r="H531" s="68"/>
      <c r="I531" s="68"/>
      <c r="J531" s="68"/>
      <c r="K531" s="68"/>
      <c r="L531" s="68"/>
    </row>
    <row r="532" spans="5:12" ht="15.75" customHeight="1" x14ac:dyDescent="0.2">
      <c r="E532" s="68"/>
      <c r="F532" s="68"/>
      <c r="G532" s="68"/>
      <c r="H532" s="68"/>
      <c r="I532" s="68"/>
      <c r="J532" s="68"/>
      <c r="K532" s="68"/>
      <c r="L532" s="68"/>
    </row>
    <row r="533" spans="5:12" ht="15.75" customHeight="1" x14ac:dyDescent="0.2">
      <c r="E533" s="68"/>
      <c r="F533" s="68"/>
      <c r="G533" s="68"/>
      <c r="H533" s="68"/>
      <c r="I533" s="68"/>
      <c r="J533" s="68"/>
      <c r="K533" s="68"/>
      <c r="L533" s="68"/>
    </row>
    <row r="534" spans="5:12" ht="15.75" customHeight="1" x14ac:dyDescent="0.2">
      <c r="E534" s="68"/>
      <c r="F534" s="68"/>
      <c r="G534" s="68"/>
      <c r="H534" s="68"/>
      <c r="I534" s="68"/>
      <c r="J534" s="68"/>
      <c r="K534" s="68"/>
      <c r="L534" s="68"/>
    </row>
    <row r="535" spans="5:12" ht="15.75" customHeight="1" x14ac:dyDescent="0.2">
      <c r="E535" s="68"/>
      <c r="F535" s="68"/>
      <c r="G535" s="68"/>
      <c r="H535" s="68"/>
      <c r="I535" s="68"/>
      <c r="J535" s="68"/>
      <c r="K535" s="68"/>
      <c r="L535" s="68"/>
    </row>
    <row r="536" spans="5:12" ht="15.75" customHeight="1" x14ac:dyDescent="0.2">
      <c r="E536" s="68"/>
      <c r="F536" s="68"/>
      <c r="G536" s="68"/>
      <c r="H536" s="68"/>
      <c r="I536" s="68"/>
      <c r="J536" s="68"/>
      <c r="K536" s="68"/>
      <c r="L536" s="68"/>
    </row>
    <row r="537" spans="5:12" ht="15.75" customHeight="1" x14ac:dyDescent="0.2">
      <c r="E537" s="68"/>
      <c r="F537" s="68"/>
      <c r="G537" s="68"/>
      <c r="H537" s="68"/>
      <c r="I537" s="68"/>
      <c r="J537" s="68"/>
      <c r="K537" s="68"/>
      <c r="L537" s="68"/>
    </row>
    <row r="538" spans="5:12" ht="15.75" customHeight="1" x14ac:dyDescent="0.2">
      <c r="E538" s="68"/>
      <c r="F538" s="68"/>
      <c r="G538" s="68"/>
      <c r="H538" s="68"/>
      <c r="I538" s="68"/>
      <c r="J538" s="68"/>
      <c r="K538" s="68"/>
      <c r="L538" s="68"/>
    </row>
    <row r="539" spans="5:12" ht="15.75" customHeight="1" x14ac:dyDescent="0.2">
      <c r="E539" s="68"/>
      <c r="F539" s="68"/>
      <c r="G539" s="68"/>
      <c r="H539" s="68"/>
      <c r="I539" s="68"/>
      <c r="J539" s="68"/>
      <c r="K539" s="68"/>
      <c r="L539" s="68"/>
    </row>
    <row r="540" spans="5:12" ht="15.75" customHeight="1" x14ac:dyDescent="0.2">
      <c r="E540" s="68"/>
      <c r="F540" s="68"/>
      <c r="G540" s="68"/>
      <c r="H540" s="68"/>
      <c r="I540" s="68"/>
      <c r="J540" s="68"/>
      <c r="K540" s="68"/>
      <c r="L540" s="68"/>
    </row>
    <row r="541" spans="5:12" ht="15.75" customHeight="1" x14ac:dyDescent="0.2">
      <c r="E541" s="68"/>
      <c r="F541" s="68"/>
      <c r="G541" s="68"/>
      <c r="H541" s="68"/>
      <c r="I541" s="68"/>
      <c r="J541" s="68"/>
      <c r="K541" s="68"/>
      <c r="L541" s="68"/>
    </row>
    <row r="542" spans="5:12" ht="15.75" customHeight="1" x14ac:dyDescent="0.2">
      <c r="E542" s="68"/>
      <c r="F542" s="68"/>
      <c r="G542" s="68"/>
      <c r="H542" s="68"/>
      <c r="I542" s="68"/>
      <c r="J542" s="68"/>
      <c r="K542" s="68"/>
      <c r="L542" s="68"/>
    </row>
    <row r="543" spans="5:12" ht="15.75" customHeight="1" x14ac:dyDescent="0.2">
      <c r="E543" s="68"/>
      <c r="F543" s="68"/>
      <c r="G543" s="68"/>
      <c r="H543" s="68"/>
      <c r="I543" s="68"/>
      <c r="J543" s="68"/>
      <c r="K543" s="68"/>
      <c r="L543" s="68"/>
    </row>
    <row r="544" spans="5:12" ht="15.75" customHeight="1" x14ac:dyDescent="0.2">
      <c r="E544" s="68"/>
      <c r="F544" s="68"/>
      <c r="G544" s="68"/>
      <c r="H544" s="68"/>
      <c r="I544" s="68"/>
      <c r="J544" s="68"/>
      <c r="K544" s="68"/>
      <c r="L544" s="68"/>
    </row>
    <row r="545" spans="5:12" ht="15.75" customHeight="1" x14ac:dyDescent="0.2">
      <c r="E545" s="68"/>
      <c r="F545" s="68"/>
      <c r="G545" s="68"/>
      <c r="H545" s="68"/>
      <c r="I545" s="68"/>
      <c r="J545" s="68"/>
      <c r="K545" s="68"/>
      <c r="L545" s="68"/>
    </row>
    <row r="546" spans="5:12" ht="15.75" customHeight="1" x14ac:dyDescent="0.2">
      <c r="E546" s="68"/>
      <c r="F546" s="68"/>
      <c r="G546" s="68"/>
      <c r="H546" s="68"/>
      <c r="I546" s="68"/>
      <c r="J546" s="68"/>
      <c r="K546" s="68"/>
      <c r="L546" s="68"/>
    </row>
    <row r="547" spans="5:12" ht="15.75" customHeight="1" x14ac:dyDescent="0.2">
      <c r="E547" s="68"/>
      <c r="F547" s="68"/>
      <c r="G547" s="68"/>
      <c r="H547" s="68"/>
      <c r="I547" s="68"/>
      <c r="J547" s="68"/>
      <c r="K547" s="68"/>
      <c r="L547" s="68"/>
    </row>
    <row r="548" spans="5:12" ht="15.75" customHeight="1" x14ac:dyDescent="0.2">
      <c r="E548" s="68"/>
      <c r="F548" s="68"/>
      <c r="G548" s="68"/>
      <c r="H548" s="68"/>
      <c r="I548" s="68"/>
      <c r="J548" s="68"/>
      <c r="K548" s="68"/>
      <c r="L548" s="68"/>
    </row>
    <row r="549" spans="5:12" ht="15.75" customHeight="1" x14ac:dyDescent="0.2">
      <c r="E549" s="68"/>
      <c r="F549" s="68"/>
      <c r="G549" s="68"/>
      <c r="H549" s="68"/>
      <c r="I549" s="68"/>
      <c r="J549" s="68"/>
      <c r="K549" s="68"/>
      <c r="L549" s="68"/>
    </row>
    <row r="550" spans="5:12" ht="15.75" customHeight="1" x14ac:dyDescent="0.2">
      <c r="E550" s="68"/>
      <c r="F550" s="68"/>
      <c r="G550" s="68"/>
      <c r="H550" s="68"/>
      <c r="I550" s="68"/>
      <c r="J550" s="68"/>
      <c r="K550" s="68"/>
      <c r="L550" s="68"/>
    </row>
    <row r="551" spans="5:12" ht="15.75" customHeight="1" x14ac:dyDescent="0.2">
      <c r="E551" s="68"/>
      <c r="F551" s="68"/>
      <c r="G551" s="68"/>
      <c r="H551" s="68"/>
      <c r="I551" s="68"/>
      <c r="J551" s="68"/>
      <c r="K551" s="68"/>
      <c r="L551" s="68"/>
    </row>
    <row r="552" spans="5:12" ht="15.75" customHeight="1" x14ac:dyDescent="0.2">
      <c r="E552" s="68"/>
      <c r="F552" s="68"/>
      <c r="G552" s="68"/>
      <c r="H552" s="68"/>
      <c r="I552" s="68"/>
      <c r="J552" s="68"/>
      <c r="K552" s="68"/>
      <c r="L552" s="68"/>
    </row>
    <row r="553" spans="5:12" ht="15.75" customHeight="1" x14ac:dyDescent="0.2">
      <c r="E553" s="68"/>
      <c r="F553" s="68"/>
      <c r="G553" s="68"/>
      <c r="H553" s="68"/>
      <c r="I553" s="68"/>
      <c r="J553" s="68"/>
      <c r="K553" s="68"/>
      <c r="L553" s="68"/>
    </row>
    <row r="554" spans="5:12" ht="15.75" customHeight="1" x14ac:dyDescent="0.2">
      <c r="E554" s="68"/>
      <c r="F554" s="68"/>
      <c r="G554" s="68"/>
      <c r="H554" s="68"/>
      <c r="I554" s="68"/>
      <c r="J554" s="68"/>
      <c r="K554" s="68"/>
      <c r="L554" s="68"/>
    </row>
    <row r="555" spans="5:12" ht="15.75" customHeight="1" x14ac:dyDescent="0.2">
      <c r="E555" s="68"/>
      <c r="F555" s="68"/>
      <c r="G555" s="68"/>
      <c r="H555" s="68"/>
      <c r="I555" s="68"/>
      <c r="J555" s="68"/>
      <c r="K555" s="68"/>
      <c r="L555" s="68"/>
    </row>
    <row r="556" spans="5:12" ht="15.75" customHeight="1" x14ac:dyDescent="0.2">
      <c r="E556" s="68"/>
      <c r="F556" s="68"/>
      <c r="G556" s="68"/>
      <c r="H556" s="68"/>
      <c r="I556" s="68"/>
      <c r="J556" s="68"/>
      <c r="K556" s="68"/>
      <c r="L556" s="68"/>
    </row>
    <row r="557" spans="5:12" ht="15.75" customHeight="1" x14ac:dyDescent="0.2">
      <c r="E557" s="68"/>
      <c r="F557" s="68"/>
      <c r="G557" s="68"/>
      <c r="H557" s="68"/>
      <c r="I557" s="68"/>
      <c r="J557" s="68"/>
      <c r="K557" s="68"/>
      <c r="L557" s="68"/>
    </row>
    <row r="558" spans="5:12" ht="15.75" customHeight="1" x14ac:dyDescent="0.2">
      <c r="E558" s="68"/>
      <c r="F558" s="68"/>
      <c r="G558" s="68"/>
      <c r="H558" s="68"/>
      <c r="I558" s="68"/>
      <c r="J558" s="68"/>
      <c r="K558" s="68"/>
      <c r="L558" s="68"/>
    </row>
    <row r="559" spans="5:12" ht="15.75" customHeight="1" x14ac:dyDescent="0.2">
      <c r="E559" s="68"/>
      <c r="F559" s="68"/>
      <c r="G559" s="68"/>
      <c r="H559" s="68"/>
      <c r="I559" s="68"/>
      <c r="J559" s="68"/>
      <c r="K559" s="68"/>
      <c r="L559" s="68"/>
    </row>
    <row r="560" spans="5:12" ht="15.75" customHeight="1" x14ac:dyDescent="0.2">
      <c r="E560" s="68"/>
      <c r="F560" s="68"/>
      <c r="G560" s="68"/>
      <c r="H560" s="68"/>
      <c r="I560" s="68"/>
      <c r="J560" s="68"/>
      <c r="K560" s="68"/>
      <c r="L560" s="68"/>
    </row>
    <row r="561" spans="5:12" ht="15.75" customHeight="1" x14ac:dyDescent="0.2">
      <c r="E561" s="68"/>
      <c r="F561" s="68"/>
      <c r="G561" s="68"/>
      <c r="H561" s="68"/>
      <c r="I561" s="68"/>
      <c r="J561" s="68"/>
      <c r="K561" s="68"/>
      <c r="L561" s="68"/>
    </row>
    <row r="562" spans="5:12" ht="15.75" customHeight="1" x14ac:dyDescent="0.2">
      <c r="E562" s="68"/>
      <c r="F562" s="68"/>
      <c r="G562" s="68"/>
      <c r="H562" s="68"/>
      <c r="I562" s="68"/>
      <c r="J562" s="68"/>
      <c r="K562" s="68"/>
      <c r="L562" s="68"/>
    </row>
    <row r="563" spans="5:12" ht="15.75" customHeight="1" x14ac:dyDescent="0.2">
      <c r="E563" s="68"/>
      <c r="F563" s="68"/>
      <c r="G563" s="68"/>
      <c r="H563" s="68"/>
      <c r="I563" s="68"/>
      <c r="J563" s="68"/>
      <c r="K563" s="68"/>
      <c r="L563" s="68"/>
    </row>
    <row r="564" spans="5:12" ht="15.75" customHeight="1" x14ac:dyDescent="0.2">
      <c r="E564" s="68"/>
      <c r="F564" s="68"/>
      <c r="G564" s="68"/>
      <c r="H564" s="68"/>
      <c r="I564" s="68"/>
      <c r="J564" s="68"/>
      <c r="K564" s="68"/>
      <c r="L564" s="68"/>
    </row>
    <row r="565" spans="5:12" ht="15.75" customHeight="1" x14ac:dyDescent="0.2">
      <c r="E565" s="68"/>
      <c r="F565" s="68"/>
      <c r="G565" s="68"/>
      <c r="H565" s="68"/>
      <c r="I565" s="68"/>
      <c r="J565" s="68"/>
      <c r="K565" s="68"/>
      <c r="L565" s="68"/>
    </row>
    <row r="566" spans="5:12" ht="15.75" customHeight="1" x14ac:dyDescent="0.2">
      <c r="E566" s="68"/>
      <c r="F566" s="68"/>
      <c r="G566" s="68"/>
      <c r="H566" s="68"/>
      <c r="I566" s="68"/>
      <c r="J566" s="68"/>
      <c r="K566" s="68"/>
      <c r="L566" s="68"/>
    </row>
    <row r="567" spans="5:12" ht="15.75" customHeight="1" x14ac:dyDescent="0.2">
      <c r="E567" s="68"/>
      <c r="F567" s="68"/>
      <c r="G567" s="68"/>
      <c r="H567" s="68"/>
      <c r="I567" s="68"/>
      <c r="J567" s="68"/>
      <c r="K567" s="68"/>
      <c r="L567" s="68"/>
    </row>
    <row r="568" spans="5:12" ht="15.75" customHeight="1" x14ac:dyDescent="0.2">
      <c r="E568" s="68"/>
      <c r="F568" s="68"/>
      <c r="G568" s="68"/>
      <c r="H568" s="68"/>
      <c r="I568" s="68"/>
      <c r="J568" s="68"/>
      <c r="K568" s="68"/>
      <c r="L568" s="68"/>
    </row>
    <row r="569" spans="5:12" ht="15.75" customHeight="1" x14ac:dyDescent="0.2">
      <c r="E569" s="68"/>
      <c r="F569" s="68"/>
      <c r="G569" s="68"/>
      <c r="H569" s="68"/>
      <c r="I569" s="68"/>
      <c r="J569" s="68"/>
      <c r="K569" s="68"/>
      <c r="L569" s="68"/>
    </row>
    <row r="570" spans="5:12" ht="15.75" customHeight="1" x14ac:dyDescent="0.2">
      <c r="E570" s="68"/>
      <c r="F570" s="68"/>
      <c r="G570" s="68"/>
      <c r="H570" s="68"/>
      <c r="I570" s="68"/>
      <c r="J570" s="68"/>
      <c r="K570" s="68"/>
      <c r="L570" s="68"/>
    </row>
    <row r="571" spans="5:12" ht="15.75" customHeight="1" x14ac:dyDescent="0.2">
      <c r="E571" s="68"/>
      <c r="F571" s="68"/>
      <c r="G571" s="68"/>
      <c r="H571" s="68"/>
      <c r="I571" s="68"/>
      <c r="J571" s="68"/>
      <c r="K571" s="68"/>
      <c r="L571" s="68"/>
    </row>
    <row r="572" spans="5:12" ht="15.75" customHeight="1" x14ac:dyDescent="0.2">
      <c r="E572" s="68"/>
      <c r="F572" s="68"/>
      <c r="G572" s="68"/>
      <c r="H572" s="68"/>
      <c r="I572" s="68"/>
      <c r="J572" s="68"/>
      <c r="K572" s="68"/>
      <c r="L572" s="68"/>
    </row>
    <row r="573" spans="5:12" ht="15.75" customHeight="1" x14ac:dyDescent="0.2">
      <c r="E573" s="68"/>
      <c r="F573" s="68"/>
      <c r="G573" s="68"/>
      <c r="H573" s="68"/>
      <c r="I573" s="68"/>
      <c r="J573" s="68"/>
      <c r="K573" s="68"/>
      <c r="L573" s="68"/>
    </row>
    <row r="574" spans="5:12" ht="15.75" customHeight="1" x14ac:dyDescent="0.2">
      <c r="E574" s="68"/>
      <c r="F574" s="68"/>
      <c r="G574" s="68"/>
      <c r="H574" s="68"/>
      <c r="I574" s="68"/>
      <c r="J574" s="68"/>
      <c r="K574" s="68"/>
      <c r="L574" s="68"/>
    </row>
    <row r="575" spans="5:12" ht="15.75" customHeight="1" x14ac:dyDescent="0.2">
      <c r="E575" s="68"/>
      <c r="F575" s="68"/>
      <c r="G575" s="68"/>
      <c r="H575" s="68"/>
      <c r="I575" s="68"/>
      <c r="J575" s="68"/>
      <c r="K575" s="68"/>
      <c r="L575" s="68"/>
    </row>
    <row r="576" spans="5:12" ht="15.75" customHeight="1" x14ac:dyDescent="0.2">
      <c r="E576" s="68"/>
      <c r="F576" s="68"/>
      <c r="G576" s="68"/>
      <c r="H576" s="68"/>
      <c r="I576" s="68"/>
      <c r="J576" s="68"/>
      <c r="K576" s="68"/>
      <c r="L576" s="68"/>
    </row>
    <row r="577" spans="5:12" ht="15.75" customHeight="1" x14ac:dyDescent="0.2">
      <c r="E577" s="68"/>
      <c r="F577" s="68"/>
      <c r="G577" s="68"/>
      <c r="H577" s="68"/>
      <c r="I577" s="68"/>
      <c r="J577" s="68"/>
      <c r="K577" s="68"/>
      <c r="L577" s="68"/>
    </row>
    <row r="578" spans="5:12" ht="15.75" customHeight="1" x14ac:dyDescent="0.2">
      <c r="E578" s="68"/>
      <c r="F578" s="68"/>
      <c r="G578" s="68"/>
      <c r="H578" s="68"/>
      <c r="I578" s="68"/>
      <c r="J578" s="68"/>
      <c r="K578" s="68"/>
      <c r="L578" s="68"/>
    </row>
    <row r="579" spans="5:12" ht="15.75" customHeight="1" x14ac:dyDescent="0.2">
      <c r="E579" s="68"/>
      <c r="F579" s="68"/>
      <c r="G579" s="68"/>
      <c r="H579" s="68"/>
      <c r="I579" s="68"/>
      <c r="J579" s="68"/>
      <c r="K579" s="68"/>
      <c r="L579" s="68"/>
    </row>
    <row r="580" spans="5:12" ht="15.75" customHeight="1" x14ac:dyDescent="0.2">
      <c r="E580" s="68"/>
      <c r="F580" s="68"/>
      <c r="G580" s="68"/>
      <c r="H580" s="68"/>
      <c r="I580" s="68"/>
      <c r="J580" s="68"/>
      <c r="K580" s="68"/>
      <c r="L580" s="68"/>
    </row>
    <row r="581" spans="5:12" ht="15.75" customHeight="1" x14ac:dyDescent="0.2">
      <c r="E581" s="68"/>
      <c r="F581" s="68"/>
      <c r="G581" s="68"/>
      <c r="H581" s="68"/>
      <c r="I581" s="68"/>
      <c r="J581" s="68"/>
      <c r="K581" s="68"/>
      <c r="L581" s="68"/>
    </row>
    <row r="582" spans="5:12" ht="15.75" customHeight="1" x14ac:dyDescent="0.2">
      <c r="E582" s="68"/>
      <c r="F582" s="68"/>
      <c r="G582" s="68"/>
      <c r="H582" s="68"/>
      <c r="I582" s="68"/>
      <c r="J582" s="68"/>
      <c r="K582" s="68"/>
      <c r="L582" s="68"/>
    </row>
    <row r="583" spans="5:12" ht="15.75" customHeight="1" x14ac:dyDescent="0.2">
      <c r="E583" s="68"/>
      <c r="F583" s="68"/>
      <c r="G583" s="68"/>
      <c r="H583" s="68"/>
      <c r="I583" s="68"/>
      <c r="J583" s="68"/>
      <c r="K583" s="68"/>
      <c r="L583" s="68"/>
    </row>
    <row r="584" spans="5:12" ht="15.75" customHeight="1" x14ac:dyDescent="0.2">
      <c r="E584" s="68"/>
      <c r="F584" s="68"/>
      <c r="G584" s="68"/>
      <c r="H584" s="68"/>
      <c r="I584" s="68"/>
      <c r="J584" s="68"/>
      <c r="K584" s="68"/>
      <c r="L584" s="68"/>
    </row>
    <row r="585" spans="5:12" ht="15.75" customHeight="1" x14ac:dyDescent="0.2">
      <c r="E585" s="68"/>
      <c r="F585" s="68"/>
      <c r="G585" s="68"/>
      <c r="H585" s="68"/>
      <c r="I585" s="68"/>
      <c r="J585" s="68"/>
      <c r="K585" s="68"/>
      <c r="L585" s="68"/>
    </row>
    <row r="586" spans="5:12" ht="15.75" customHeight="1" x14ac:dyDescent="0.2">
      <c r="E586" s="68"/>
      <c r="F586" s="68"/>
      <c r="G586" s="68"/>
      <c r="H586" s="68"/>
      <c r="I586" s="68"/>
      <c r="J586" s="68"/>
      <c r="K586" s="68"/>
      <c r="L586" s="68"/>
    </row>
    <row r="587" spans="5:12" ht="15.75" customHeight="1" x14ac:dyDescent="0.2">
      <c r="E587" s="68"/>
      <c r="F587" s="68"/>
      <c r="G587" s="68"/>
      <c r="H587" s="68"/>
      <c r="I587" s="68"/>
      <c r="J587" s="68"/>
      <c r="K587" s="68"/>
      <c r="L587" s="68"/>
    </row>
    <row r="588" spans="5:12" ht="15.75" customHeight="1" x14ac:dyDescent="0.2">
      <c r="E588" s="68"/>
      <c r="F588" s="68"/>
      <c r="G588" s="68"/>
      <c r="H588" s="68"/>
      <c r="I588" s="68"/>
      <c r="J588" s="68"/>
      <c r="K588" s="68"/>
      <c r="L588" s="68"/>
    </row>
    <row r="589" spans="5:12" ht="15.75" customHeight="1" x14ac:dyDescent="0.2">
      <c r="E589" s="68"/>
      <c r="F589" s="68"/>
      <c r="G589" s="68"/>
      <c r="H589" s="68"/>
      <c r="I589" s="68"/>
      <c r="J589" s="68"/>
      <c r="K589" s="68"/>
      <c r="L589" s="68"/>
    </row>
    <row r="590" spans="5:12" ht="15.75" customHeight="1" x14ac:dyDescent="0.2">
      <c r="E590" s="68"/>
      <c r="F590" s="68"/>
      <c r="G590" s="68"/>
      <c r="H590" s="68"/>
      <c r="I590" s="68"/>
      <c r="J590" s="68"/>
      <c r="K590" s="68"/>
      <c r="L590" s="68"/>
    </row>
    <row r="591" spans="5:12" ht="15.75" customHeight="1" x14ac:dyDescent="0.2">
      <c r="E591" s="68"/>
      <c r="F591" s="68"/>
      <c r="G591" s="68"/>
      <c r="H591" s="68"/>
      <c r="I591" s="68"/>
      <c r="J591" s="68"/>
      <c r="K591" s="68"/>
      <c r="L591" s="68"/>
    </row>
    <row r="592" spans="5:12" ht="15.75" customHeight="1" x14ac:dyDescent="0.2">
      <c r="E592" s="68"/>
      <c r="F592" s="68"/>
      <c r="G592" s="68"/>
      <c r="H592" s="68"/>
      <c r="I592" s="68"/>
      <c r="J592" s="68"/>
      <c r="K592" s="68"/>
      <c r="L592" s="68"/>
    </row>
    <row r="593" spans="5:12" ht="15.75" customHeight="1" x14ac:dyDescent="0.2">
      <c r="E593" s="68"/>
      <c r="F593" s="68"/>
      <c r="G593" s="68"/>
      <c r="H593" s="68"/>
      <c r="I593" s="68"/>
      <c r="J593" s="68"/>
      <c r="K593" s="68"/>
      <c r="L593" s="68"/>
    </row>
    <row r="594" spans="5:12" ht="15.75" customHeight="1" x14ac:dyDescent="0.2">
      <c r="E594" s="68"/>
      <c r="F594" s="68"/>
      <c r="G594" s="68"/>
      <c r="H594" s="68"/>
      <c r="I594" s="68"/>
      <c r="J594" s="68"/>
      <c r="K594" s="68"/>
      <c r="L594" s="68"/>
    </row>
    <row r="595" spans="5:12" ht="15.75" customHeight="1" x14ac:dyDescent="0.2">
      <c r="E595" s="68"/>
      <c r="F595" s="68"/>
      <c r="G595" s="68"/>
      <c r="H595" s="68"/>
      <c r="I595" s="68"/>
      <c r="J595" s="68"/>
      <c r="K595" s="68"/>
      <c r="L595" s="68"/>
    </row>
    <row r="596" spans="5:12" ht="15.75" customHeight="1" x14ac:dyDescent="0.2">
      <c r="E596" s="68"/>
      <c r="F596" s="68"/>
      <c r="G596" s="68"/>
      <c r="H596" s="68"/>
      <c r="I596" s="68"/>
      <c r="J596" s="68"/>
      <c r="K596" s="68"/>
      <c r="L596" s="68"/>
    </row>
    <row r="597" spans="5:12" ht="15.75" customHeight="1" x14ac:dyDescent="0.2">
      <c r="E597" s="68"/>
      <c r="F597" s="68"/>
      <c r="G597" s="68"/>
      <c r="H597" s="68"/>
      <c r="I597" s="68"/>
      <c r="J597" s="68"/>
      <c r="K597" s="68"/>
      <c r="L597" s="68"/>
    </row>
    <row r="598" spans="5:12" ht="15.75" customHeight="1" x14ac:dyDescent="0.2">
      <c r="E598" s="68"/>
      <c r="F598" s="68"/>
      <c r="G598" s="68"/>
      <c r="H598" s="68"/>
      <c r="I598" s="68"/>
      <c r="J598" s="68"/>
      <c r="K598" s="68"/>
      <c r="L598" s="68"/>
    </row>
    <row r="599" spans="5:12" ht="15.75" customHeight="1" x14ac:dyDescent="0.2">
      <c r="E599" s="68"/>
      <c r="F599" s="68"/>
      <c r="G599" s="68"/>
      <c r="H599" s="68"/>
      <c r="I599" s="68"/>
      <c r="J599" s="68"/>
      <c r="K599" s="68"/>
      <c r="L599" s="68"/>
    </row>
    <row r="600" spans="5:12" ht="15.75" customHeight="1" x14ac:dyDescent="0.2">
      <c r="E600" s="68"/>
      <c r="F600" s="68"/>
      <c r="G600" s="68"/>
      <c r="H600" s="68"/>
      <c r="I600" s="68"/>
      <c r="J600" s="68"/>
      <c r="K600" s="68"/>
      <c r="L600" s="68"/>
    </row>
    <row r="601" spans="5:12" ht="15.75" customHeight="1" x14ac:dyDescent="0.2">
      <c r="E601" s="68"/>
      <c r="F601" s="68"/>
      <c r="G601" s="68"/>
      <c r="H601" s="68"/>
      <c r="I601" s="68"/>
      <c r="J601" s="68"/>
      <c r="K601" s="68"/>
      <c r="L601" s="68"/>
    </row>
    <row r="602" spans="5:12" ht="15.75" customHeight="1" x14ac:dyDescent="0.2">
      <c r="E602" s="68"/>
      <c r="F602" s="68"/>
      <c r="G602" s="68"/>
      <c r="H602" s="68"/>
      <c r="I602" s="68"/>
      <c r="J602" s="68"/>
      <c r="K602" s="68"/>
      <c r="L602" s="68"/>
    </row>
    <row r="603" spans="5:12" ht="15.75" customHeight="1" x14ac:dyDescent="0.2">
      <c r="E603" s="68"/>
      <c r="F603" s="68"/>
      <c r="G603" s="68"/>
      <c r="H603" s="68"/>
      <c r="I603" s="68"/>
      <c r="J603" s="68"/>
      <c r="K603" s="68"/>
      <c r="L603" s="68"/>
    </row>
    <row r="604" spans="5:12" ht="15.75" customHeight="1" x14ac:dyDescent="0.2">
      <c r="E604" s="68"/>
      <c r="F604" s="68"/>
      <c r="G604" s="68"/>
      <c r="H604" s="68"/>
      <c r="I604" s="68"/>
      <c r="J604" s="68"/>
      <c r="K604" s="68"/>
      <c r="L604" s="68"/>
    </row>
    <row r="605" spans="5:12" ht="15.75" customHeight="1" x14ac:dyDescent="0.2">
      <c r="E605" s="68"/>
      <c r="F605" s="68"/>
      <c r="G605" s="68"/>
      <c r="H605" s="68"/>
      <c r="I605" s="68"/>
      <c r="J605" s="68"/>
      <c r="K605" s="68"/>
      <c r="L605" s="68"/>
    </row>
    <row r="606" spans="5:12" ht="15.75" customHeight="1" x14ac:dyDescent="0.2">
      <c r="E606" s="68"/>
      <c r="F606" s="68"/>
      <c r="G606" s="68"/>
      <c r="H606" s="68"/>
      <c r="I606" s="68"/>
      <c r="J606" s="68"/>
      <c r="K606" s="68"/>
      <c r="L606" s="68"/>
    </row>
    <row r="607" spans="5:12" ht="15.75" customHeight="1" x14ac:dyDescent="0.2">
      <c r="E607" s="68"/>
      <c r="F607" s="68"/>
      <c r="G607" s="68"/>
      <c r="H607" s="68"/>
      <c r="I607" s="68"/>
      <c r="J607" s="68"/>
      <c r="K607" s="68"/>
      <c r="L607" s="68"/>
    </row>
    <row r="608" spans="5:12" ht="15.75" customHeight="1" x14ac:dyDescent="0.2">
      <c r="E608" s="68"/>
      <c r="F608" s="68"/>
      <c r="G608" s="68"/>
      <c r="H608" s="68"/>
      <c r="I608" s="68"/>
      <c r="J608" s="68"/>
      <c r="K608" s="68"/>
      <c r="L608" s="68"/>
    </row>
    <row r="609" spans="5:12" ht="15.75" customHeight="1" x14ac:dyDescent="0.2">
      <c r="E609" s="68"/>
      <c r="F609" s="68"/>
      <c r="G609" s="68"/>
      <c r="H609" s="68"/>
      <c r="I609" s="68"/>
      <c r="J609" s="68"/>
      <c r="K609" s="68"/>
      <c r="L609" s="68"/>
    </row>
    <row r="610" spans="5:12" ht="15.75" customHeight="1" x14ac:dyDescent="0.2">
      <c r="E610" s="68"/>
      <c r="F610" s="68"/>
      <c r="G610" s="68"/>
      <c r="H610" s="68"/>
      <c r="I610" s="68"/>
      <c r="J610" s="68"/>
      <c r="K610" s="68"/>
      <c r="L610" s="68"/>
    </row>
    <row r="611" spans="5:12" ht="15.75" customHeight="1" x14ac:dyDescent="0.2">
      <c r="E611" s="68"/>
      <c r="F611" s="68"/>
      <c r="G611" s="68"/>
      <c r="H611" s="68"/>
      <c r="I611" s="68"/>
      <c r="J611" s="68"/>
      <c r="K611" s="68"/>
      <c r="L611" s="68"/>
    </row>
    <row r="612" spans="5:12" ht="15.75" customHeight="1" x14ac:dyDescent="0.2">
      <c r="E612" s="68"/>
      <c r="F612" s="68"/>
      <c r="G612" s="68"/>
      <c r="H612" s="68"/>
      <c r="I612" s="68"/>
      <c r="J612" s="68"/>
      <c r="K612" s="68"/>
      <c r="L612" s="68"/>
    </row>
    <row r="613" spans="5:12" ht="15.75" customHeight="1" x14ac:dyDescent="0.2">
      <c r="E613" s="68"/>
      <c r="F613" s="68"/>
      <c r="G613" s="68"/>
      <c r="H613" s="68"/>
      <c r="I613" s="68"/>
      <c r="J613" s="68"/>
      <c r="K613" s="68"/>
      <c r="L613" s="68"/>
    </row>
    <row r="614" spans="5:12" ht="15.75" customHeight="1" x14ac:dyDescent="0.2">
      <c r="E614" s="68"/>
      <c r="F614" s="68"/>
      <c r="G614" s="68"/>
      <c r="H614" s="68"/>
      <c r="I614" s="68"/>
      <c r="J614" s="68"/>
      <c r="K614" s="68"/>
      <c r="L614" s="68"/>
    </row>
    <row r="615" spans="5:12" ht="15.75" customHeight="1" x14ac:dyDescent="0.2">
      <c r="E615" s="68"/>
      <c r="F615" s="68"/>
      <c r="G615" s="68"/>
      <c r="H615" s="68"/>
      <c r="I615" s="68"/>
      <c r="J615" s="68"/>
      <c r="K615" s="68"/>
      <c r="L615" s="68"/>
    </row>
    <row r="616" spans="5:12" ht="15.75" customHeight="1" x14ac:dyDescent="0.2">
      <c r="E616" s="68"/>
      <c r="F616" s="68"/>
      <c r="G616" s="68"/>
      <c r="H616" s="68"/>
      <c r="I616" s="68"/>
      <c r="J616" s="68"/>
      <c r="K616" s="68"/>
      <c r="L616" s="68"/>
    </row>
    <row r="617" spans="5:12" ht="15.75" customHeight="1" x14ac:dyDescent="0.2">
      <c r="E617" s="68"/>
      <c r="F617" s="68"/>
      <c r="G617" s="68"/>
      <c r="H617" s="68"/>
      <c r="I617" s="68"/>
      <c r="J617" s="68"/>
      <c r="K617" s="68"/>
      <c r="L617" s="68"/>
    </row>
    <row r="618" spans="5:12" ht="15.75" customHeight="1" x14ac:dyDescent="0.2">
      <c r="E618" s="68"/>
      <c r="F618" s="68"/>
      <c r="G618" s="68"/>
      <c r="H618" s="68"/>
      <c r="I618" s="68"/>
      <c r="J618" s="68"/>
      <c r="K618" s="68"/>
      <c r="L618" s="68"/>
    </row>
    <row r="619" spans="5:12" ht="15.75" customHeight="1" x14ac:dyDescent="0.2">
      <c r="E619" s="68"/>
      <c r="F619" s="68"/>
      <c r="G619" s="68"/>
      <c r="H619" s="68"/>
      <c r="I619" s="68"/>
      <c r="J619" s="68"/>
      <c r="K619" s="68"/>
      <c r="L619" s="68"/>
    </row>
    <row r="620" spans="5:12" ht="15.75" customHeight="1" x14ac:dyDescent="0.2">
      <c r="E620" s="68"/>
      <c r="F620" s="68"/>
      <c r="G620" s="68"/>
      <c r="H620" s="68"/>
      <c r="I620" s="68"/>
      <c r="J620" s="68"/>
      <c r="K620" s="68"/>
      <c r="L620" s="68"/>
    </row>
    <row r="621" spans="5:12" ht="15.75" customHeight="1" x14ac:dyDescent="0.2">
      <c r="E621" s="68"/>
      <c r="F621" s="68"/>
      <c r="G621" s="68"/>
      <c r="H621" s="68"/>
      <c r="I621" s="68"/>
      <c r="J621" s="68"/>
      <c r="K621" s="68"/>
      <c r="L621" s="68"/>
    </row>
    <row r="622" spans="5:12" ht="15.75" customHeight="1" x14ac:dyDescent="0.2">
      <c r="E622" s="68"/>
      <c r="F622" s="68"/>
      <c r="G622" s="68"/>
      <c r="H622" s="68"/>
      <c r="I622" s="68"/>
      <c r="J622" s="68"/>
      <c r="K622" s="68"/>
      <c r="L622" s="68"/>
    </row>
    <row r="623" spans="5:12" ht="15.75" customHeight="1" x14ac:dyDescent="0.2">
      <c r="E623" s="68"/>
      <c r="F623" s="68"/>
      <c r="G623" s="68"/>
      <c r="H623" s="68"/>
      <c r="I623" s="68"/>
      <c r="J623" s="68"/>
      <c r="K623" s="68"/>
      <c r="L623" s="68"/>
    </row>
    <row r="624" spans="5:12" ht="15.75" customHeight="1" x14ac:dyDescent="0.2">
      <c r="E624" s="68"/>
      <c r="F624" s="68"/>
      <c r="G624" s="68"/>
      <c r="H624" s="68"/>
      <c r="I624" s="68"/>
      <c r="J624" s="68"/>
      <c r="K624" s="68"/>
      <c r="L624" s="68"/>
    </row>
    <row r="625" spans="5:12" ht="15.75" customHeight="1" x14ac:dyDescent="0.2">
      <c r="E625" s="68"/>
      <c r="F625" s="68"/>
      <c r="G625" s="68"/>
      <c r="H625" s="68"/>
      <c r="I625" s="68"/>
      <c r="J625" s="68"/>
      <c r="K625" s="68"/>
      <c r="L625" s="68"/>
    </row>
    <row r="626" spans="5:12" ht="15.75" customHeight="1" x14ac:dyDescent="0.2">
      <c r="E626" s="68"/>
      <c r="F626" s="68"/>
      <c r="G626" s="68"/>
      <c r="H626" s="68"/>
      <c r="I626" s="68"/>
      <c r="J626" s="68"/>
      <c r="K626" s="68"/>
      <c r="L626" s="68"/>
    </row>
    <row r="627" spans="5:12" ht="15.75" customHeight="1" x14ac:dyDescent="0.2">
      <c r="E627" s="68"/>
      <c r="F627" s="68"/>
      <c r="G627" s="68"/>
      <c r="H627" s="68"/>
      <c r="I627" s="68"/>
      <c r="J627" s="68"/>
      <c r="K627" s="68"/>
      <c r="L627" s="68"/>
    </row>
    <row r="628" spans="5:12" ht="15.75" customHeight="1" x14ac:dyDescent="0.2">
      <c r="E628" s="68"/>
      <c r="F628" s="68"/>
      <c r="G628" s="68"/>
      <c r="H628" s="68"/>
      <c r="I628" s="68"/>
      <c r="J628" s="68"/>
      <c r="K628" s="68"/>
      <c r="L628" s="68"/>
    </row>
    <row r="629" spans="5:12" ht="15.75" customHeight="1" x14ac:dyDescent="0.2">
      <c r="E629" s="68"/>
      <c r="F629" s="68"/>
      <c r="G629" s="68"/>
      <c r="H629" s="68"/>
      <c r="I629" s="68"/>
      <c r="J629" s="68"/>
      <c r="K629" s="68"/>
      <c r="L629" s="68"/>
    </row>
    <row r="630" spans="5:12" ht="15.75" customHeight="1" x14ac:dyDescent="0.2">
      <c r="E630" s="68"/>
      <c r="F630" s="68"/>
      <c r="G630" s="68"/>
      <c r="H630" s="68"/>
      <c r="I630" s="68"/>
      <c r="J630" s="68"/>
      <c r="K630" s="68"/>
      <c r="L630" s="68"/>
    </row>
    <row r="631" spans="5:12" ht="15.75" customHeight="1" x14ac:dyDescent="0.2">
      <c r="E631" s="68"/>
      <c r="F631" s="68"/>
      <c r="G631" s="68"/>
      <c r="H631" s="68"/>
      <c r="I631" s="68"/>
      <c r="J631" s="68"/>
      <c r="K631" s="68"/>
      <c r="L631" s="68"/>
    </row>
    <row r="632" spans="5:12" ht="15.75" customHeight="1" x14ac:dyDescent="0.2">
      <c r="E632" s="68"/>
      <c r="F632" s="68"/>
      <c r="G632" s="68"/>
      <c r="H632" s="68"/>
      <c r="I632" s="68"/>
      <c r="J632" s="68"/>
      <c r="K632" s="68"/>
      <c r="L632" s="68"/>
    </row>
    <row r="633" spans="5:12" ht="15.75" customHeight="1" x14ac:dyDescent="0.2">
      <c r="E633" s="68"/>
      <c r="F633" s="68"/>
      <c r="G633" s="68"/>
      <c r="H633" s="68"/>
      <c r="I633" s="68"/>
      <c r="J633" s="68"/>
      <c r="K633" s="68"/>
      <c r="L633" s="68"/>
    </row>
    <row r="634" spans="5:12" ht="15.75" customHeight="1" x14ac:dyDescent="0.2">
      <c r="E634" s="68"/>
      <c r="F634" s="68"/>
      <c r="G634" s="68"/>
      <c r="H634" s="68"/>
      <c r="I634" s="68"/>
      <c r="J634" s="68"/>
      <c r="K634" s="68"/>
      <c r="L634" s="68"/>
    </row>
    <row r="635" spans="5:12" ht="15.75" customHeight="1" x14ac:dyDescent="0.2">
      <c r="E635" s="68"/>
      <c r="F635" s="68"/>
      <c r="G635" s="68"/>
      <c r="H635" s="68"/>
      <c r="I635" s="68"/>
      <c r="J635" s="68"/>
      <c r="K635" s="68"/>
      <c r="L635" s="68"/>
    </row>
    <row r="636" spans="5:12" ht="15.75" customHeight="1" x14ac:dyDescent="0.2">
      <c r="E636" s="68"/>
      <c r="F636" s="68"/>
      <c r="G636" s="68"/>
      <c r="H636" s="68"/>
      <c r="I636" s="68"/>
      <c r="J636" s="68"/>
      <c r="K636" s="68"/>
      <c r="L636" s="68"/>
    </row>
    <row r="637" spans="5:12" ht="15.75" customHeight="1" x14ac:dyDescent="0.2">
      <c r="E637" s="68"/>
      <c r="F637" s="68"/>
      <c r="G637" s="68"/>
      <c r="H637" s="68"/>
      <c r="I637" s="68"/>
      <c r="J637" s="68"/>
      <c r="K637" s="68"/>
      <c r="L637" s="68"/>
    </row>
    <row r="638" spans="5:12" ht="15.75" customHeight="1" x14ac:dyDescent="0.2">
      <c r="E638" s="68"/>
      <c r="F638" s="68"/>
      <c r="G638" s="68"/>
      <c r="H638" s="68"/>
      <c r="I638" s="68"/>
      <c r="J638" s="68"/>
      <c r="K638" s="68"/>
      <c r="L638" s="68"/>
    </row>
    <row r="639" spans="5:12" ht="15.75" customHeight="1" x14ac:dyDescent="0.2">
      <c r="E639" s="68"/>
      <c r="F639" s="68"/>
      <c r="G639" s="68"/>
      <c r="H639" s="68"/>
      <c r="I639" s="68"/>
      <c r="J639" s="68"/>
      <c r="K639" s="68"/>
      <c r="L639" s="68"/>
    </row>
    <row r="640" spans="5:12" ht="15.75" customHeight="1" x14ac:dyDescent="0.2">
      <c r="E640" s="68"/>
      <c r="F640" s="68"/>
      <c r="G640" s="68"/>
      <c r="H640" s="68"/>
      <c r="I640" s="68"/>
      <c r="J640" s="68"/>
      <c r="K640" s="68"/>
      <c r="L640" s="68"/>
    </row>
    <row r="641" spans="5:12" ht="15.75" customHeight="1" x14ac:dyDescent="0.2">
      <c r="E641" s="68"/>
      <c r="F641" s="68"/>
      <c r="G641" s="68"/>
      <c r="H641" s="68"/>
      <c r="I641" s="68"/>
      <c r="J641" s="68"/>
      <c r="K641" s="68"/>
      <c r="L641" s="68"/>
    </row>
    <row r="642" spans="5:12" ht="15.75" customHeight="1" x14ac:dyDescent="0.2">
      <c r="E642" s="68"/>
      <c r="F642" s="68"/>
      <c r="G642" s="68"/>
      <c r="H642" s="68"/>
      <c r="I642" s="68"/>
      <c r="J642" s="68"/>
      <c r="K642" s="68"/>
      <c r="L642" s="68"/>
    </row>
    <row r="643" spans="5:12" ht="15.75" customHeight="1" x14ac:dyDescent="0.2">
      <c r="E643" s="68"/>
      <c r="F643" s="68"/>
      <c r="G643" s="68"/>
      <c r="H643" s="68"/>
      <c r="I643" s="68"/>
      <c r="J643" s="68"/>
      <c r="K643" s="68"/>
      <c r="L643" s="68"/>
    </row>
    <row r="644" spans="5:12" ht="15.75" customHeight="1" x14ac:dyDescent="0.2">
      <c r="E644" s="68"/>
      <c r="F644" s="68"/>
      <c r="G644" s="68"/>
      <c r="H644" s="68"/>
      <c r="I644" s="68"/>
      <c r="J644" s="68"/>
      <c r="K644" s="68"/>
      <c r="L644" s="68"/>
    </row>
    <row r="645" spans="5:12" ht="15.75" customHeight="1" x14ac:dyDescent="0.2">
      <c r="E645" s="68"/>
      <c r="F645" s="68"/>
      <c r="G645" s="68"/>
      <c r="H645" s="68"/>
      <c r="I645" s="68"/>
      <c r="J645" s="68"/>
      <c r="K645" s="68"/>
      <c r="L645" s="68"/>
    </row>
    <row r="646" spans="5:12" ht="15.75" customHeight="1" x14ac:dyDescent="0.2">
      <c r="E646" s="68"/>
      <c r="F646" s="68"/>
      <c r="G646" s="68"/>
      <c r="H646" s="68"/>
      <c r="I646" s="68"/>
      <c r="J646" s="68"/>
      <c r="K646" s="68"/>
      <c r="L646" s="68"/>
    </row>
    <row r="647" spans="5:12" ht="15.75" customHeight="1" x14ac:dyDescent="0.2">
      <c r="E647" s="68"/>
      <c r="F647" s="68"/>
      <c r="G647" s="68"/>
      <c r="H647" s="68"/>
      <c r="I647" s="68"/>
      <c r="J647" s="68"/>
      <c r="K647" s="68"/>
      <c r="L647" s="68"/>
    </row>
    <row r="648" spans="5:12" ht="15.75" customHeight="1" x14ac:dyDescent="0.2">
      <c r="E648" s="68"/>
      <c r="F648" s="68"/>
      <c r="G648" s="68"/>
      <c r="H648" s="68"/>
      <c r="I648" s="68"/>
      <c r="J648" s="68"/>
      <c r="K648" s="68"/>
      <c r="L648" s="68"/>
    </row>
    <row r="649" spans="5:12" ht="15.75" customHeight="1" x14ac:dyDescent="0.2">
      <c r="E649" s="68"/>
      <c r="F649" s="68"/>
      <c r="G649" s="68"/>
      <c r="H649" s="68"/>
      <c r="I649" s="68"/>
      <c r="J649" s="68"/>
      <c r="K649" s="68"/>
      <c r="L649" s="68"/>
    </row>
    <row r="650" spans="5:12" ht="15.75" customHeight="1" x14ac:dyDescent="0.2">
      <c r="E650" s="68"/>
      <c r="F650" s="68"/>
      <c r="G650" s="68"/>
      <c r="H650" s="68"/>
      <c r="I650" s="68"/>
      <c r="J650" s="68"/>
      <c r="K650" s="68"/>
      <c r="L650" s="68"/>
    </row>
    <row r="651" spans="5:12" ht="15.75" customHeight="1" x14ac:dyDescent="0.2">
      <c r="E651" s="68"/>
      <c r="F651" s="68"/>
      <c r="G651" s="68"/>
      <c r="H651" s="68"/>
      <c r="I651" s="68"/>
      <c r="J651" s="68"/>
      <c r="K651" s="68"/>
      <c r="L651" s="68"/>
    </row>
    <row r="652" spans="5:12" ht="15.75" customHeight="1" x14ac:dyDescent="0.2">
      <c r="E652" s="68"/>
      <c r="F652" s="68"/>
      <c r="G652" s="68"/>
      <c r="H652" s="68"/>
      <c r="I652" s="68"/>
      <c r="J652" s="68"/>
      <c r="K652" s="68"/>
      <c r="L652" s="68"/>
    </row>
    <row r="653" spans="5:12" ht="15.75" customHeight="1" x14ac:dyDescent="0.2">
      <c r="E653" s="68"/>
      <c r="F653" s="68"/>
      <c r="G653" s="68"/>
      <c r="H653" s="68"/>
      <c r="I653" s="68"/>
      <c r="J653" s="68"/>
      <c r="K653" s="68"/>
      <c r="L653" s="68"/>
    </row>
    <row r="654" spans="5:12" ht="15.75" customHeight="1" x14ac:dyDescent="0.2">
      <c r="E654" s="68"/>
      <c r="F654" s="68"/>
      <c r="G654" s="68"/>
      <c r="H654" s="68"/>
      <c r="I654" s="68"/>
      <c r="J654" s="68"/>
      <c r="K654" s="68"/>
      <c r="L654" s="68"/>
    </row>
    <row r="655" spans="5:12" ht="15.75" customHeight="1" x14ac:dyDescent="0.2">
      <c r="E655" s="68"/>
      <c r="F655" s="68"/>
      <c r="G655" s="68"/>
      <c r="H655" s="68"/>
      <c r="I655" s="68"/>
      <c r="J655" s="68"/>
      <c r="K655" s="68"/>
      <c r="L655" s="68"/>
    </row>
    <row r="656" spans="5:12" ht="15.75" customHeight="1" x14ac:dyDescent="0.2">
      <c r="E656" s="68"/>
      <c r="F656" s="68"/>
      <c r="G656" s="68"/>
      <c r="H656" s="68"/>
      <c r="I656" s="68"/>
      <c r="J656" s="68"/>
      <c r="K656" s="68"/>
      <c r="L656" s="68"/>
    </row>
    <row r="657" spans="5:12" ht="15.75" customHeight="1" x14ac:dyDescent="0.2">
      <c r="E657" s="68"/>
      <c r="F657" s="68"/>
      <c r="G657" s="68"/>
      <c r="H657" s="68"/>
      <c r="I657" s="68"/>
      <c r="J657" s="68"/>
      <c r="K657" s="68"/>
      <c r="L657" s="68"/>
    </row>
    <row r="658" spans="5:12" ht="15.75" customHeight="1" x14ac:dyDescent="0.2">
      <c r="E658" s="68"/>
      <c r="F658" s="68"/>
      <c r="G658" s="68"/>
      <c r="H658" s="68"/>
      <c r="I658" s="68"/>
      <c r="J658" s="68"/>
      <c r="K658" s="68"/>
      <c r="L658" s="68"/>
    </row>
    <row r="659" spans="5:12" ht="15.75" customHeight="1" x14ac:dyDescent="0.2">
      <c r="E659" s="68"/>
      <c r="F659" s="68"/>
      <c r="G659" s="68"/>
      <c r="H659" s="68"/>
      <c r="I659" s="68"/>
      <c r="J659" s="68"/>
      <c r="K659" s="68"/>
      <c r="L659" s="68"/>
    </row>
    <row r="660" spans="5:12" ht="15.75" customHeight="1" x14ac:dyDescent="0.2">
      <c r="E660" s="68"/>
      <c r="F660" s="68"/>
      <c r="G660" s="68"/>
      <c r="H660" s="68"/>
      <c r="I660" s="68"/>
      <c r="J660" s="68"/>
      <c r="K660" s="68"/>
      <c r="L660" s="68"/>
    </row>
    <row r="661" spans="5:12" ht="15.75" customHeight="1" x14ac:dyDescent="0.2">
      <c r="E661" s="68"/>
      <c r="F661" s="68"/>
      <c r="G661" s="68"/>
      <c r="H661" s="68"/>
      <c r="I661" s="68"/>
      <c r="J661" s="68"/>
      <c r="K661" s="68"/>
      <c r="L661" s="68"/>
    </row>
    <row r="662" spans="5:12" ht="15.75" customHeight="1" x14ac:dyDescent="0.2">
      <c r="E662" s="68"/>
      <c r="F662" s="68"/>
      <c r="G662" s="68"/>
      <c r="H662" s="68"/>
      <c r="I662" s="68"/>
      <c r="J662" s="68"/>
      <c r="K662" s="68"/>
      <c r="L662" s="68"/>
    </row>
    <row r="663" spans="5:12" ht="15.75" customHeight="1" x14ac:dyDescent="0.2">
      <c r="E663" s="68"/>
      <c r="F663" s="68"/>
      <c r="G663" s="68"/>
      <c r="H663" s="68"/>
      <c r="I663" s="68"/>
      <c r="J663" s="68"/>
      <c r="K663" s="68"/>
      <c r="L663" s="68"/>
    </row>
    <row r="664" spans="5:12" ht="15.75" customHeight="1" x14ac:dyDescent="0.2">
      <c r="E664" s="68"/>
      <c r="F664" s="68"/>
      <c r="G664" s="68"/>
      <c r="H664" s="68"/>
      <c r="I664" s="68"/>
      <c r="J664" s="68"/>
      <c r="K664" s="68"/>
      <c r="L664" s="68"/>
    </row>
    <row r="665" spans="5:12" ht="15.75" customHeight="1" x14ac:dyDescent="0.2">
      <c r="E665" s="68"/>
      <c r="F665" s="68"/>
      <c r="G665" s="68"/>
      <c r="H665" s="68"/>
      <c r="I665" s="68"/>
      <c r="J665" s="68"/>
      <c r="K665" s="68"/>
      <c r="L665" s="68"/>
    </row>
    <row r="666" spans="5:12" ht="15.75" customHeight="1" x14ac:dyDescent="0.2">
      <c r="E666" s="68"/>
      <c r="F666" s="68"/>
      <c r="G666" s="68"/>
      <c r="H666" s="68"/>
      <c r="I666" s="68"/>
      <c r="J666" s="68"/>
      <c r="K666" s="68"/>
      <c r="L666" s="68"/>
    </row>
    <row r="667" spans="5:12" ht="15.75" customHeight="1" x14ac:dyDescent="0.2">
      <c r="E667" s="68"/>
      <c r="F667" s="68"/>
      <c r="G667" s="68"/>
      <c r="H667" s="68"/>
      <c r="I667" s="68"/>
      <c r="J667" s="68"/>
      <c r="K667" s="68"/>
      <c r="L667" s="68"/>
    </row>
    <row r="668" spans="5:12" ht="15.75" customHeight="1" x14ac:dyDescent="0.2">
      <c r="E668" s="68"/>
      <c r="F668" s="68"/>
      <c r="G668" s="68"/>
      <c r="H668" s="68"/>
      <c r="I668" s="68"/>
      <c r="J668" s="68"/>
      <c r="K668" s="68"/>
      <c r="L668" s="68"/>
    </row>
    <row r="669" spans="5:12" ht="15.75" customHeight="1" x14ac:dyDescent="0.2">
      <c r="E669" s="68"/>
      <c r="F669" s="68"/>
      <c r="G669" s="68"/>
      <c r="H669" s="68"/>
      <c r="I669" s="68"/>
      <c r="J669" s="68"/>
      <c r="K669" s="68"/>
      <c r="L669" s="68"/>
    </row>
    <row r="670" spans="5:12" ht="15.75" customHeight="1" x14ac:dyDescent="0.2">
      <c r="E670" s="68"/>
      <c r="F670" s="68"/>
      <c r="G670" s="68"/>
      <c r="H670" s="68"/>
      <c r="I670" s="68"/>
      <c r="J670" s="68"/>
      <c r="K670" s="68"/>
      <c r="L670" s="68"/>
    </row>
    <row r="671" spans="5:12" ht="15.75" customHeight="1" x14ac:dyDescent="0.2">
      <c r="E671" s="68"/>
      <c r="F671" s="68"/>
      <c r="G671" s="68"/>
      <c r="H671" s="68"/>
      <c r="I671" s="68"/>
      <c r="J671" s="68"/>
      <c r="K671" s="68"/>
      <c r="L671" s="68"/>
    </row>
    <row r="672" spans="5:12" ht="15.75" customHeight="1" x14ac:dyDescent="0.2">
      <c r="E672" s="68"/>
      <c r="F672" s="68"/>
      <c r="G672" s="68"/>
      <c r="H672" s="68"/>
      <c r="I672" s="68"/>
      <c r="J672" s="68"/>
      <c r="K672" s="68"/>
      <c r="L672" s="68"/>
    </row>
    <row r="673" spans="5:12" ht="15.75" customHeight="1" x14ac:dyDescent="0.2">
      <c r="E673" s="68"/>
      <c r="F673" s="68"/>
      <c r="G673" s="68"/>
      <c r="H673" s="68"/>
      <c r="I673" s="68"/>
      <c r="J673" s="68"/>
      <c r="K673" s="68"/>
      <c r="L673" s="68"/>
    </row>
    <row r="674" spans="5:12" ht="15.75" customHeight="1" x14ac:dyDescent="0.2">
      <c r="E674" s="68"/>
      <c r="F674" s="68"/>
      <c r="G674" s="68"/>
      <c r="H674" s="68"/>
      <c r="I674" s="68"/>
      <c r="J674" s="68"/>
      <c r="K674" s="68"/>
      <c r="L674" s="68"/>
    </row>
    <row r="675" spans="5:12" ht="15.75" customHeight="1" x14ac:dyDescent="0.2">
      <c r="E675" s="68"/>
      <c r="F675" s="68"/>
      <c r="G675" s="68"/>
      <c r="H675" s="68"/>
      <c r="I675" s="68"/>
      <c r="J675" s="68"/>
      <c r="K675" s="68"/>
      <c r="L675" s="68"/>
    </row>
    <row r="676" spans="5:12" ht="15.75" customHeight="1" x14ac:dyDescent="0.2">
      <c r="E676" s="68"/>
      <c r="F676" s="68"/>
      <c r="G676" s="68"/>
      <c r="H676" s="68"/>
      <c r="I676" s="68"/>
      <c r="J676" s="68"/>
      <c r="K676" s="68"/>
      <c r="L676" s="68"/>
    </row>
    <row r="677" spans="5:12" ht="15.75" customHeight="1" x14ac:dyDescent="0.2">
      <c r="E677" s="68"/>
      <c r="F677" s="68"/>
      <c r="G677" s="68"/>
      <c r="H677" s="68"/>
      <c r="I677" s="68"/>
      <c r="J677" s="68"/>
      <c r="K677" s="68"/>
      <c r="L677" s="68"/>
    </row>
    <row r="678" spans="5:12" ht="15.75" customHeight="1" x14ac:dyDescent="0.2">
      <c r="E678" s="68"/>
      <c r="F678" s="68"/>
      <c r="G678" s="68"/>
      <c r="H678" s="68"/>
      <c r="I678" s="68"/>
      <c r="J678" s="68"/>
      <c r="K678" s="68"/>
      <c r="L678" s="68"/>
    </row>
    <row r="679" spans="5:12" ht="15.75" customHeight="1" x14ac:dyDescent="0.2">
      <c r="E679" s="68"/>
      <c r="F679" s="68"/>
      <c r="G679" s="68"/>
      <c r="H679" s="68"/>
      <c r="I679" s="68"/>
      <c r="J679" s="68"/>
      <c r="K679" s="68"/>
      <c r="L679" s="68"/>
    </row>
    <row r="680" spans="5:12" ht="15.75" customHeight="1" x14ac:dyDescent="0.2">
      <c r="E680" s="68"/>
      <c r="F680" s="68"/>
      <c r="G680" s="68"/>
      <c r="H680" s="68"/>
      <c r="I680" s="68"/>
      <c r="J680" s="68"/>
      <c r="K680" s="68"/>
      <c r="L680" s="68"/>
    </row>
    <row r="681" spans="5:12" ht="15.75" customHeight="1" x14ac:dyDescent="0.2">
      <c r="E681" s="68"/>
      <c r="F681" s="68"/>
      <c r="G681" s="68"/>
      <c r="H681" s="68"/>
      <c r="I681" s="68"/>
      <c r="J681" s="68"/>
      <c r="K681" s="68"/>
      <c r="L681" s="68"/>
    </row>
    <row r="682" spans="5:12" ht="15.75" customHeight="1" x14ac:dyDescent="0.2">
      <c r="E682" s="68"/>
      <c r="F682" s="68"/>
      <c r="G682" s="68"/>
      <c r="H682" s="68"/>
      <c r="I682" s="68"/>
      <c r="J682" s="68"/>
      <c r="K682" s="68"/>
      <c r="L682" s="68"/>
    </row>
    <row r="683" spans="5:12" ht="15.75" customHeight="1" x14ac:dyDescent="0.2">
      <c r="E683" s="68"/>
      <c r="F683" s="68"/>
      <c r="G683" s="68"/>
      <c r="H683" s="68"/>
      <c r="I683" s="68"/>
      <c r="J683" s="68"/>
      <c r="K683" s="68"/>
      <c r="L683" s="68"/>
    </row>
    <row r="684" spans="5:12" ht="15.75" customHeight="1" x14ac:dyDescent="0.2">
      <c r="E684" s="68"/>
      <c r="F684" s="68"/>
      <c r="G684" s="68"/>
      <c r="H684" s="68"/>
      <c r="I684" s="68"/>
      <c r="J684" s="68"/>
      <c r="K684" s="68"/>
      <c r="L684" s="68"/>
    </row>
    <row r="685" spans="5:12" ht="15.75" customHeight="1" x14ac:dyDescent="0.2">
      <c r="E685" s="68"/>
      <c r="F685" s="68"/>
      <c r="G685" s="68"/>
      <c r="H685" s="68"/>
      <c r="I685" s="68"/>
      <c r="J685" s="68"/>
      <c r="K685" s="68"/>
      <c r="L685" s="68"/>
    </row>
    <row r="686" spans="5:12" ht="15.75" customHeight="1" x14ac:dyDescent="0.2">
      <c r="E686" s="68"/>
      <c r="F686" s="68"/>
      <c r="G686" s="68"/>
      <c r="H686" s="68"/>
      <c r="I686" s="68"/>
      <c r="J686" s="68"/>
      <c r="K686" s="68"/>
      <c r="L686" s="68"/>
    </row>
    <row r="687" spans="5:12" ht="15.75" customHeight="1" x14ac:dyDescent="0.2">
      <c r="E687" s="68"/>
      <c r="F687" s="68"/>
      <c r="G687" s="68"/>
      <c r="H687" s="68"/>
      <c r="I687" s="68"/>
      <c r="J687" s="68"/>
      <c r="K687" s="68"/>
      <c r="L687" s="68"/>
    </row>
    <row r="688" spans="5:12" ht="15.75" customHeight="1" x14ac:dyDescent="0.2">
      <c r="E688" s="68"/>
      <c r="F688" s="68"/>
      <c r="G688" s="68"/>
      <c r="H688" s="68"/>
      <c r="I688" s="68"/>
      <c r="J688" s="68"/>
      <c r="K688" s="68"/>
      <c r="L688" s="68"/>
    </row>
    <row r="689" spans="5:12" ht="15.75" customHeight="1" x14ac:dyDescent="0.2">
      <c r="E689" s="68"/>
      <c r="F689" s="68"/>
      <c r="G689" s="68"/>
      <c r="H689" s="68"/>
      <c r="I689" s="68"/>
      <c r="J689" s="68"/>
      <c r="K689" s="68"/>
      <c r="L689" s="68"/>
    </row>
    <row r="690" spans="5:12" ht="15.75" customHeight="1" x14ac:dyDescent="0.2">
      <c r="E690" s="68"/>
      <c r="F690" s="68"/>
      <c r="G690" s="68"/>
      <c r="H690" s="68"/>
      <c r="I690" s="68"/>
      <c r="J690" s="68"/>
      <c r="K690" s="68"/>
      <c r="L690" s="68"/>
    </row>
    <row r="691" spans="5:12" ht="15.75" customHeight="1" x14ac:dyDescent="0.2">
      <c r="E691" s="68"/>
      <c r="F691" s="68"/>
      <c r="G691" s="68"/>
      <c r="H691" s="68"/>
      <c r="I691" s="68"/>
      <c r="J691" s="68"/>
      <c r="K691" s="68"/>
      <c r="L691" s="68"/>
    </row>
    <row r="692" spans="5:12" ht="15.75" customHeight="1" x14ac:dyDescent="0.2">
      <c r="E692" s="68"/>
      <c r="F692" s="68"/>
      <c r="G692" s="68"/>
      <c r="H692" s="68"/>
      <c r="I692" s="68"/>
      <c r="J692" s="68"/>
      <c r="K692" s="68"/>
      <c r="L692" s="68"/>
    </row>
    <row r="693" spans="5:12" ht="15.75" customHeight="1" x14ac:dyDescent="0.2">
      <c r="E693" s="68"/>
      <c r="F693" s="68"/>
      <c r="G693" s="68"/>
      <c r="H693" s="68"/>
      <c r="I693" s="68"/>
      <c r="J693" s="68"/>
      <c r="K693" s="68"/>
      <c r="L693" s="68"/>
    </row>
    <row r="694" spans="5:12" ht="15.75" customHeight="1" x14ac:dyDescent="0.2">
      <c r="E694" s="68"/>
      <c r="F694" s="68"/>
      <c r="G694" s="68"/>
      <c r="H694" s="68"/>
      <c r="I694" s="68"/>
      <c r="J694" s="68"/>
      <c r="K694" s="68"/>
      <c r="L694" s="68"/>
    </row>
    <row r="695" spans="5:12" ht="15.75" customHeight="1" x14ac:dyDescent="0.2">
      <c r="E695" s="68"/>
      <c r="F695" s="68"/>
      <c r="G695" s="68"/>
      <c r="H695" s="68"/>
      <c r="I695" s="68"/>
      <c r="J695" s="68"/>
      <c r="K695" s="68"/>
      <c r="L695" s="68"/>
    </row>
    <row r="696" spans="5:12" ht="15.75" customHeight="1" x14ac:dyDescent="0.2">
      <c r="E696" s="68"/>
      <c r="F696" s="68"/>
      <c r="G696" s="68"/>
      <c r="H696" s="68"/>
      <c r="I696" s="68"/>
      <c r="J696" s="68"/>
      <c r="K696" s="68"/>
      <c r="L696" s="68"/>
    </row>
    <row r="697" spans="5:12" ht="15.75" customHeight="1" x14ac:dyDescent="0.2">
      <c r="E697" s="68"/>
      <c r="F697" s="68"/>
      <c r="G697" s="68"/>
      <c r="H697" s="68"/>
      <c r="I697" s="68"/>
      <c r="J697" s="68"/>
      <c r="K697" s="68"/>
      <c r="L697" s="68"/>
    </row>
    <row r="698" spans="5:12" ht="15.75" customHeight="1" x14ac:dyDescent="0.2">
      <c r="E698" s="68"/>
      <c r="F698" s="68"/>
      <c r="G698" s="68"/>
      <c r="H698" s="68"/>
      <c r="I698" s="68"/>
      <c r="J698" s="68"/>
      <c r="K698" s="68"/>
      <c r="L698" s="68"/>
    </row>
    <row r="699" spans="5:12" ht="15.75" customHeight="1" x14ac:dyDescent="0.2">
      <c r="E699" s="68"/>
      <c r="F699" s="68"/>
      <c r="G699" s="68"/>
      <c r="H699" s="68"/>
      <c r="I699" s="68"/>
      <c r="J699" s="68"/>
      <c r="K699" s="68"/>
      <c r="L699" s="68"/>
    </row>
    <row r="700" spans="5:12" ht="15.75" customHeight="1" x14ac:dyDescent="0.2">
      <c r="E700" s="68"/>
      <c r="F700" s="68"/>
      <c r="G700" s="68"/>
      <c r="H700" s="68"/>
      <c r="I700" s="68"/>
      <c r="J700" s="68"/>
      <c r="K700" s="68"/>
      <c r="L700" s="68"/>
    </row>
    <row r="701" spans="5:12" ht="15.75" customHeight="1" x14ac:dyDescent="0.2">
      <c r="E701" s="68"/>
      <c r="F701" s="68"/>
      <c r="G701" s="68"/>
      <c r="H701" s="68"/>
      <c r="I701" s="68"/>
      <c r="J701" s="68"/>
      <c r="K701" s="68"/>
      <c r="L701" s="68"/>
    </row>
    <row r="702" spans="5:12" ht="15.75" customHeight="1" x14ac:dyDescent="0.2">
      <c r="E702" s="68"/>
      <c r="F702" s="68"/>
      <c r="G702" s="68"/>
      <c r="H702" s="68"/>
      <c r="I702" s="68"/>
      <c r="J702" s="68"/>
      <c r="K702" s="68"/>
      <c r="L702" s="68"/>
    </row>
    <row r="703" spans="5:12" ht="15.75" customHeight="1" x14ac:dyDescent="0.2">
      <c r="E703" s="68"/>
      <c r="F703" s="68"/>
      <c r="G703" s="68"/>
      <c r="H703" s="68"/>
      <c r="I703" s="68"/>
      <c r="J703" s="68"/>
      <c r="K703" s="68"/>
      <c r="L703" s="68"/>
    </row>
    <row r="704" spans="5:12" ht="15.75" customHeight="1" x14ac:dyDescent="0.2">
      <c r="E704" s="68"/>
      <c r="F704" s="68"/>
      <c r="G704" s="68"/>
      <c r="H704" s="68"/>
      <c r="I704" s="68"/>
      <c r="J704" s="68"/>
      <c r="K704" s="68"/>
      <c r="L704" s="68"/>
    </row>
    <row r="705" spans="5:12" ht="15.75" customHeight="1" x14ac:dyDescent="0.2">
      <c r="E705" s="68"/>
      <c r="F705" s="68"/>
      <c r="G705" s="68"/>
      <c r="H705" s="68"/>
      <c r="I705" s="68"/>
      <c r="J705" s="68"/>
      <c r="K705" s="68"/>
      <c r="L705" s="68"/>
    </row>
    <row r="706" spans="5:12" ht="15.75" customHeight="1" x14ac:dyDescent="0.2">
      <c r="E706" s="68"/>
      <c r="F706" s="68"/>
      <c r="G706" s="68"/>
      <c r="H706" s="68"/>
      <c r="I706" s="68"/>
      <c r="J706" s="68"/>
      <c r="K706" s="68"/>
      <c r="L706" s="68"/>
    </row>
    <row r="707" spans="5:12" ht="15.75" customHeight="1" x14ac:dyDescent="0.2">
      <c r="E707" s="68"/>
      <c r="F707" s="68"/>
      <c r="G707" s="68"/>
      <c r="H707" s="68"/>
      <c r="I707" s="68"/>
      <c r="J707" s="68"/>
      <c r="K707" s="68"/>
      <c r="L707" s="68"/>
    </row>
    <row r="708" spans="5:12" ht="15.75" customHeight="1" x14ac:dyDescent="0.2">
      <c r="E708" s="68"/>
      <c r="F708" s="68"/>
      <c r="G708" s="68"/>
      <c r="H708" s="68"/>
      <c r="I708" s="68"/>
      <c r="J708" s="68"/>
      <c r="K708" s="68"/>
      <c r="L708" s="68"/>
    </row>
    <row r="709" spans="5:12" ht="15.75" customHeight="1" x14ac:dyDescent="0.2">
      <c r="E709" s="68"/>
      <c r="F709" s="68"/>
      <c r="G709" s="68"/>
      <c r="H709" s="68"/>
      <c r="I709" s="68"/>
      <c r="J709" s="68"/>
      <c r="K709" s="68"/>
      <c r="L709" s="68"/>
    </row>
    <row r="710" spans="5:12" ht="15.75" customHeight="1" x14ac:dyDescent="0.2">
      <c r="E710" s="68"/>
      <c r="F710" s="68"/>
      <c r="G710" s="68"/>
      <c r="H710" s="68"/>
      <c r="I710" s="68"/>
      <c r="J710" s="68"/>
      <c r="K710" s="68"/>
      <c r="L710" s="68"/>
    </row>
    <row r="711" spans="5:12" ht="15.75" customHeight="1" x14ac:dyDescent="0.2">
      <c r="E711" s="68"/>
      <c r="F711" s="68"/>
      <c r="G711" s="68"/>
      <c r="H711" s="68"/>
      <c r="I711" s="68"/>
      <c r="J711" s="68"/>
      <c r="K711" s="68"/>
      <c r="L711" s="68"/>
    </row>
    <row r="712" spans="5:12" ht="15.75" customHeight="1" x14ac:dyDescent="0.2">
      <c r="E712" s="68"/>
      <c r="F712" s="68"/>
      <c r="G712" s="68"/>
      <c r="H712" s="68"/>
      <c r="I712" s="68"/>
      <c r="J712" s="68"/>
      <c r="K712" s="68"/>
      <c r="L712" s="68"/>
    </row>
    <row r="713" spans="5:12" ht="15.75" customHeight="1" x14ac:dyDescent="0.2">
      <c r="E713" s="68"/>
      <c r="F713" s="68"/>
      <c r="G713" s="68"/>
      <c r="H713" s="68"/>
      <c r="I713" s="68"/>
      <c r="J713" s="68"/>
      <c r="K713" s="68"/>
      <c r="L713" s="68"/>
    </row>
    <row r="714" spans="5:12" ht="15.75" customHeight="1" x14ac:dyDescent="0.2">
      <c r="E714" s="68"/>
      <c r="F714" s="68"/>
      <c r="G714" s="68"/>
      <c r="H714" s="68"/>
      <c r="I714" s="68"/>
      <c r="J714" s="68"/>
      <c r="K714" s="68"/>
      <c r="L714" s="68"/>
    </row>
    <row r="715" spans="5:12" ht="15.75" customHeight="1" x14ac:dyDescent="0.2">
      <c r="E715" s="68"/>
      <c r="F715" s="68"/>
      <c r="G715" s="68"/>
      <c r="H715" s="68"/>
      <c r="I715" s="68"/>
      <c r="J715" s="68"/>
      <c r="K715" s="68"/>
      <c r="L715" s="68"/>
    </row>
    <row r="716" spans="5:12" ht="15.75" customHeight="1" x14ac:dyDescent="0.2">
      <c r="E716" s="68"/>
      <c r="F716" s="68"/>
      <c r="G716" s="68"/>
      <c r="H716" s="68"/>
      <c r="I716" s="68"/>
      <c r="J716" s="68"/>
      <c r="K716" s="68"/>
      <c r="L716" s="68"/>
    </row>
    <row r="717" spans="5:12" ht="15.75" customHeight="1" x14ac:dyDescent="0.2">
      <c r="E717" s="68"/>
      <c r="F717" s="68"/>
      <c r="G717" s="68"/>
      <c r="H717" s="68"/>
      <c r="I717" s="68"/>
      <c r="J717" s="68"/>
      <c r="K717" s="68"/>
      <c r="L717" s="68"/>
    </row>
    <row r="718" spans="5:12" ht="15.75" customHeight="1" x14ac:dyDescent="0.2">
      <c r="E718" s="68"/>
      <c r="F718" s="68"/>
      <c r="G718" s="68"/>
      <c r="H718" s="68"/>
      <c r="I718" s="68"/>
      <c r="J718" s="68"/>
      <c r="K718" s="68"/>
      <c r="L718" s="68"/>
    </row>
    <row r="719" spans="5:12" ht="15.75" customHeight="1" x14ac:dyDescent="0.2">
      <c r="E719" s="68"/>
      <c r="F719" s="68"/>
      <c r="G719" s="68"/>
      <c r="H719" s="68"/>
      <c r="I719" s="68"/>
      <c r="J719" s="68"/>
      <c r="K719" s="68"/>
      <c r="L719" s="68"/>
    </row>
    <row r="720" spans="5:12" ht="15.75" customHeight="1" x14ac:dyDescent="0.2">
      <c r="E720" s="68"/>
      <c r="F720" s="68"/>
      <c r="G720" s="68"/>
      <c r="H720" s="68"/>
      <c r="I720" s="68"/>
      <c r="J720" s="68"/>
      <c r="K720" s="68"/>
      <c r="L720" s="68"/>
    </row>
    <row r="721" spans="5:12" ht="15.75" customHeight="1" x14ac:dyDescent="0.2">
      <c r="E721" s="68"/>
      <c r="F721" s="68"/>
      <c r="G721" s="68"/>
      <c r="H721" s="68"/>
      <c r="I721" s="68"/>
      <c r="J721" s="68"/>
      <c r="K721" s="68"/>
      <c r="L721" s="68"/>
    </row>
    <row r="722" spans="5:12" ht="15.75" customHeight="1" x14ac:dyDescent="0.2">
      <c r="E722" s="68"/>
      <c r="F722" s="68"/>
      <c r="G722" s="68"/>
      <c r="H722" s="68"/>
      <c r="I722" s="68"/>
      <c r="J722" s="68"/>
      <c r="K722" s="68"/>
      <c r="L722" s="68"/>
    </row>
    <row r="723" spans="5:12" ht="15.75" customHeight="1" x14ac:dyDescent="0.2">
      <c r="E723" s="68"/>
      <c r="F723" s="68"/>
      <c r="G723" s="68"/>
      <c r="H723" s="68"/>
      <c r="I723" s="68"/>
      <c r="J723" s="68"/>
      <c r="K723" s="68"/>
      <c r="L723" s="68"/>
    </row>
    <row r="724" spans="5:12" ht="15.75" customHeight="1" x14ac:dyDescent="0.2">
      <c r="E724" s="68"/>
      <c r="F724" s="68"/>
      <c r="G724" s="68"/>
      <c r="H724" s="68"/>
      <c r="I724" s="68"/>
      <c r="J724" s="68"/>
      <c r="K724" s="68"/>
      <c r="L724" s="68"/>
    </row>
    <row r="725" spans="5:12" ht="15.75" customHeight="1" x14ac:dyDescent="0.2">
      <c r="E725" s="68"/>
      <c r="F725" s="68"/>
      <c r="G725" s="68"/>
      <c r="H725" s="68"/>
      <c r="I725" s="68"/>
      <c r="J725" s="68"/>
      <c r="K725" s="68"/>
      <c r="L725" s="68"/>
    </row>
    <row r="726" spans="5:12" ht="15.75" customHeight="1" x14ac:dyDescent="0.2">
      <c r="E726" s="68"/>
      <c r="F726" s="68"/>
      <c r="G726" s="68"/>
      <c r="H726" s="68"/>
      <c r="I726" s="68"/>
      <c r="J726" s="68"/>
      <c r="K726" s="68"/>
      <c r="L726" s="68"/>
    </row>
    <row r="727" spans="5:12" ht="15.75" customHeight="1" x14ac:dyDescent="0.2">
      <c r="E727" s="68"/>
      <c r="F727" s="68"/>
      <c r="G727" s="68"/>
      <c r="H727" s="68"/>
      <c r="I727" s="68"/>
      <c r="J727" s="68"/>
      <c r="K727" s="68"/>
      <c r="L727" s="68"/>
    </row>
    <row r="728" spans="5:12" ht="15.75" customHeight="1" x14ac:dyDescent="0.2">
      <c r="E728" s="68"/>
      <c r="F728" s="68"/>
      <c r="G728" s="68"/>
      <c r="H728" s="68"/>
      <c r="I728" s="68"/>
      <c r="J728" s="68"/>
      <c r="K728" s="68"/>
      <c r="L728" s="68"/>
    </row>
    <row r="729" spans="5:12" ht="15.75" customHeight="1" x14ac:dyDescent="0.2">
      <c r="E729" s="68"/>
      <c r="F729" s="68"/>
      <c r="G729" s="68"/>
      <c r="H729" s="68"/>
      <c r="I729" s="68"/>
      <c r="J729" s="68"/>
      <c r="K729" s="68"/>
      <c r="L729" s="68"/>
    </row>
    <row r="730" spans="5:12" ht="15.75" customHeight="1" x14ac:dyDescent="0.2">
      <c r="E730" s="68"/>
      <c r="F730" s="68"/>
      <c r="G730" s="68"/>
      <c r="H730" s="68"/>
      <c r="I730" s="68"/>
      <c r="J730" s="68"/>
      <c r="K730" s="68"/>
      <c r="L730" s="68"/>
    </row>
    <row r="731" spans="5:12" ht="15.75" customHeight="1" x14ac:dyDescent="0.2">
      <c r="E731" s="68"/>
      <c r="F731" s="68"/>
      <c r="G731" s="68"/>
      <c r="H731" s="68"/>
      <c r="I731" s="68"/>
      <c r="J731" s="68"/>
      <c r="K731" s="68"/>
      <c r="L731" s="68"/>
    </row>
    <row r="732" spans="5:12" ht="15.75" customHeight="1" x14ac:dyDescent="0.2">
      <c r="E732" s="68"/>
      <c r="F732" s="68"/>
      <c r="G732" s="68"/>
      <c r="H732" s="68"/>
      <c r="I732" s="68"/>
      <c r="J732" s="68"/>
      <c r="K732" s="68"/>
      <c r="L732" s="68"/>
    </row>
    <row r="733" spans="5:12" ht="15.75" customHeight="1" x14ac:dyDescent="0.2">
      <c r="E733" s="68"/>
      <c r="F733" s="68"/>
      <c r="G733" s="68"/>
      <c r="H733" s="68"/>
      <c r="I733" s="68"/>
      <c r="J733" s="68"/>
      <c r="K733" s="68"/>
      <c r="L733" s="68"/>
    </row>
    <row r="734" spans="5:12" ht="15.75" customHeight="1" x14ac:dyDescent="0.2">
      <c r="E734" s="68"/>
      <c r="F734" s="68"/>
      <c r="G734" s="68"/>
      <c r="H734" s="68"/>
      <c r="I734" s="68"/>
      <c r="J734" s="68"/>
      <c r="K734" s="68"/>
      <c r="L734" s="68"/>
    </row>
    <row r="735" spans="5:12" ht="15.75" customHeight="1" x14ac:dyDescent="0.2">
      <c r="E735" s="68"/>
      <c r="F735" s="68"/>
      <c r="G735" s="68"/>
      <c r="H735" s="68"/>
      <c r="I735" s="68"/>
      <c r="J735" s="68"/>
      <c r="K735" s="68"/>
      <c r="L735" s="68"/>
    </row>
    <row r="736" spans="5:12" ht="15.75" customHeight="1" x14ac:dyDescent="0.2">
      <c r="E736" s="68"/>
      <c r="F736" s="68"/>
      <c r="G736" s="68"/>
      <c r="H736" s="68"/>
      <c r="I736" s="68"/>
      <c r="J736" s="68"/>
      <c r="K736" s="68"/>
      <c r="L736" s="68"/>
    </row>
    <row r="737" spans="5:12" ht="15.75" customHeight="1" x14ac:dyDescent="0.2">
      <c r="E737" s="68"/>
      <c r="F737" s="68"/>
      <c r="G737" s="68"/>
      <c r="H737" s="68"/>
      <c r="I737" s="68"/>
      <c r="J737" s="68"/>
      <c r="K737" s="68"/>
      <c r="L737" s="68"/>
    </row>
    <row r="738" spans="5:12" ht="15.75" customHeight="1" x14ac:dyDescent="0.2">
      <c r="E738" s="68"/>
      <c r="F738" s="68"/>
      <c r="G738" s="68"/>
      <c r="H738" s="68"/>
      <c r="I738" s="68"/>
      <c r="J738" s="68"/>
      <c r="K738" s="68"/>
      <c r="L738" s="68"/>
    </row>
    <row r="739" spans="5:12" ht="15.75" customHeight="1" x14ac:dyDescent="0.2">
      <c r="E739" s="68"/>
      <c r="F739" s="68"/>
      <c r="G739" s="68"/>
      <c r="H739" s="68"/>
      <c r="I739" s="68"/>
      <c r="J739" s="68"/>
      <c r="K739" s="68"/>
      <c r="L739" s="68"/>
    </row>
    <row r="740" spans="5:12" ht="15.75" customHeight="1" x14ac:dyDescent="0.2">
      <c r="E740" s="68"/>
      <c r="F740" s="68"/>
      <c r="G740" s="68"/>
      <c r="H740" s="68"/>
      <c r="I740" s="68"/>
      <c r="J740" s="68"/>
      <c r="K740" s="68"/>
      <c r="L740" s="68"/>
    </row>
    <row r="741" spans="5:12" ht="15.75" customHeight="1" x14ac:dyDescent="0.2">
      <c r="E741" s="68"/>
      <c r="F741" s="68"/>
      <c r="G741" s="68"/>
      <c r="H741" s="68"/>
      <c r="I741" s="68"/>
      <c r="J741" s="68"/>
      <c r="K741" s="68"/>
      <c r="L741" s="68"/>
    </row>
    <row r="742" spans="5:12" ht="15.75" customHeight="1" x14ac:dyDescent="0.2">
      <c r="E742" s="68"/>
      <c r="F742" s="68"/>
      <c r="G742" s="68"/>
      <c r="H742" s="68"/>
      <c r="I742" s="68"/>
      <c r="J742" s="68"/>
      <c r="K742" s="68"/>
      <c r="L742" s="68"/>
    </row>
    <row r="743" spans="5:12" ht="15.75" customHeight="1" x14ac:dyDescent="0.2">
      <c r="E743" s="68"/>
      <c r="F743" s="68"/>
      <c r="G743" s="68"/>
      <c r="H743" s="68"/>
      <c r="I743" s="68"/>
      <c r="J743" s="68"/>
      <c r="K743" s="68"/>
      <c r="L743" s="68"/>
    </row>
    <row r="744" spans="5:12" ht="15.75" customHeight="1" x14ac:dyDescent="0.2">
      <c r="E744" s="68"/>
      <c r="F744" s="68"/>
      <c r="G744" s="68"/>
      <c r="H744" s="68"/>
      <c r="I744" s="68"/>
      <c r="J744" s="68"/>
      <c r="K744" s="68"/>
      <c r="L744" s="68"/>
    </row>
    <row r="745" spans="5:12" ht="15.75" customHeight="1" x14ac:dyDescent="0.2">
      <c r="E745" s="68"/>
      <c r="F745" s="68"/>
      <c r="G745" s="68"/>
      <c r="H745" s="68"/>
      <c r="I745" s="68"/>
      <c r="J745" s="68"/>
      <c r="K745" s="68"/>
      <c r="L745" s="68"/>
    </row>
    <row r="746" spans="5:12" ht="15.75" customHeight="1" x14ac:dyDescent="0.2">
      <c r="E746" s="68"/>
      <c r="F746" s="68"/>
      <c r="G746" s="68"/>
      <c r="H746" s="68"/>
      <c r="I746" s="68"/>
      <c r="J746" s="68"/>
      <c r="K746" s="68"/>
      <c r="L746" s="68"/>
    </row>
    <row r="747" spans="5:12" ht="15.75" customHeight="1" x14ac:dyDescent="0.2">
      <c r="E747" s="68"/>
      <c r="F747" s="68"/>
      <c r="G747" s="68"/>
      <c r="H747" s="68"/>
      <c r="I747" s="68"/>
      <c r="J747" s="68"/>
      <c r="K747" s="68"/>
      <c r="L747" s="68"/>
    </row>
    <row r="748" spans="5:12" ht="15.75" customHeight="1" x14ac:dyDescent="0.2">
      <c r="E748" s="68"/>
      <c r="F748" s="68"/>
      <c r="G748" s="68"/>
      <c r="H748" s="68"/>
      <c r="I748" s="68"/>
      <c r="J748" s="68"/>
      <c r="K748" s="68"/>
      <c r="L748" s="68"/>
    </row>
    <row r="749" spans="5:12" ht="15.75" customHeight="1" x14ac:dyDescent="0.2">
      <c r="E749" s="68"/>
      <c r="F749" s="68"/>
      <c r="G749" s="68"/>
      <c r="H749" s="68"/>
      <c r="I749" s="68"/>
      <c r="J749" s="68"/>
      <c r="K749" s="68"/>
      <c r="L749" s="68"/>
    </row>
    <row r="750" spans="5:12" ht="15.75" customHeight="1" x14ac:dyDescent="0.2">
      <c r="E750" s="68"/>
      <c r="F750" s="68"/>
      <c r="G750" s="68"/>
      <c r="H750" s="68"/>
      <c r="I750" s="68"/>
      <c r="J750" s="68"/>
      <c r="K750" s="68"/>
      <c r="L750" s="68"/>
    </row>
    <row r="751" spans="5:12" ht="15.75" customHeight="1" x14ac:dyDescent="0.2">
      <c r="E751" s="68"/>
      <c r="F751" s="68"/>
      <c r="G751" s="68"/>
      <c r="H751" s="68"/>
      <c r="I751" s="68"/>
      <c r="J751" s="68"/>
      <c r="K751" s="68"/>
      <c r="L751" s="68"/>
    </row>
    <row r="752" spans="5:12" ht="15.75" customHeight="1" x14ac:dyDescent="0.2">
      <c r="E752" s="68"/>
      <c r="F752" s="68"/>
      <c r="G752" s="68"/>
      <c r="H752" s="68"/>
      <c r="I752" s="68"/>
      <c r="J752" s="68"/>
      <c r="K752" s="68"/>
      <c r="L752" s="68"/>
    </row>
    <row r="753" spans="5:12" ht="15.75" customHeight="1" x14ac:dyDescent="0.2">
      <c r="E753" s="68"/>
      <c r="F753" s="68"/>
      <c r="G753" s="68"/>
      <c r="H753" s="68"/>
      <c r="I753" s="68"/>
      <c r="J753" s="68"/>
      <c r="K753" s="68"/>
      <c r="L753" s="68"/>
    </row>
    <row r="754" spans="5:12" ht="15.75" customHeight="1" x14ac:dyDescent="0.2">
      <c r="E754" s="68"/>
      <c r="F754" s="68"/>
      <c r="G754" s="68"/>
      <c r="H754" s="68"/>
      <c r="I754" s="68"/>
      <c r="J754" s="68"/>
      <c r="K754" s="68"/>
      <c r="L754" s="68"/>
    </row>
    <row r="755" spans="5:12" ht="15.75" customHeight="1" x14ac:dyDescent="0.2">
      <c r="E755" s="68"/>
      <c r="F755" s="68"/>
      <c r="G755" s="68"/>
      <c r="H755" s="68"/>
      <c r="I755" s="68"/>
      <c r="J755" s="68"/>
      <c r="K755" s="68"/>
      <c r="L755" s="68"/>
    </row>
    <row r="756" spans="5:12" ht="15.75" customHeight="1" x14ac:dyDescent="0.2">
      <c r="E756" s="68"/>
      <c r="F756" s="68"/>
      <c r="G756" s="68"/>
      <c r="H756" s="68"/>
      <c r="I756" s="68"/>
      <c r="J756" s="68"/>
      <c r="K756" s="68"/>
      <c r="L756" s="68"/>
    </row>
    <row r="757" spans="5:12" ht="15.75" customHeight="1" x14ac:dyDescent="0.2">
      <c r="E757" s="68"/>
      <c r="F757" s="68"/>
      <c r="G757" s="68"/>
      <c r="H757" s="68"/>
      <c r="I757" s="68"/>
      <c r="J757" s="68"/>
      <c r="K757" s="68"/>
      <c r="L757" s="68"/>
    </row>
    <row r="758" spans="5:12" ht="15.75" customHeight="1" x14ac:dyDescent="0.2">
      <c r="E758" s="68"/>
      <c r="F758" s="68"/>
      <c r="G758" s="68"/>
      <c r="H758" s="68"/>
      <c r="I758" s="68"/>
      <c r="J758" s="68"/>
      <c r="K758" s="68"/>
      <c r="L758" s="68"/>
    </row>
    <row r="759" spans="5:12" ht="15.75" customHeight="1" x14ac:dyDescent="0.2">
      <c r="E759" s="68"/>
      <c r="F759" s="68"/>
      <c r="G759" s="68"/>
      <c r="H759" s="68"/>
      <c r="I759" s="68"/>
      <c r="J759" s="68"/>
      <c r="K759" s="68"/>
      <c r="L759" s="68"/>
    </row>
    <row r="760" spans="5:12" ht="15.75" customHeight="1" x14ac:dyDescent="0.2">
      <c r="E760" s="68"/>
      <c r="F760" s="68"/>
      <c r="G760" s="68"/>
      <c r="H760" s="68"/>
      <c r="I760" s="68"/>
      <c r="J760" s="68"/>
      <c r="K760" s="68"/>
      <c r="L760" s="68"/>
    </row>
    <row r="761" spans="5:12" ht="15.75" customHeight="1" x14ac:dyDescent="0.2">
      <c r="E761" s="68"/>
      <c r="F761" s="68"/>
      <c r="G761" s="68"/>
      <c r="H761" s="68"/>
      <c r="I761" s="68"/>
      <c r="J761" s="68"/>
      <c r="K761" s="68"/>
      <c r="L761" s="68"/>
    </row>
    <row r="762" spans="5:12" ht="15.75" customHeight="1" x14ac:dyDescent="0.2">
      <c r="E762" s="68"/>
      <c r="F762" s="68"/>
      <c r="G762" s="68"/>
      <c r="H762" s="68"/>
      <c r="I762" s="68"/>
      <c r="J762" s="68"/>
      <c r="K762" s="68"/>
      <c r="L762" s="68"/>
    </row>
    <row r="763" spans="5:12" ht="15.75" customHeight="1" x14ac:dyDescent="0.2">
      <c r="E763" s="68"/>
      <c r="F763" s="68"/>
      <c r="G763" s="68"/>
      <c r="H763" s="68"/>
      <c r="I763" s="68"/>
      <c r="J763" s="68"/>
      <c r="K763" s="68"/>
      <c r="L763" s="68"/>
    </row>
    <row r="764" spans="5:12" ht="15.75" customHeight="1" x14ac:dyDescent="0.2">
      <c r="E764" s="68"/>
      <c r="F764" s="68"/>
      <c r="G764" s="68"/>
      <c r="H764" s="68"/>
      <c r="I764" s="68"/>
      <c r="J764" s="68"/>
      <c r="K764" s="68"/>
      <c r="L764" s="68"/>
    </row>
    <row r="765" spans="5:12" ht="15.75" customHeight="1" x14ac:dyDescent="0.2">
      <c r="E765" s="68"/>
      <c r="F765" s="68"/>
      <c r="G765" s="68"/>
      <c r="H765" s="68"/>
      <c r="I765" s="68"/>
      <c r="J765" s="68"/>
      <c r="K765" s="68"/>
      <c r="L765" s="68"/>
    </row>
    <row r="766" spans="5:12" ht="15.75" customHeight="1" x14ac:dyDescent="0.2">
      <c r="E766" s="68"/>
      <c r="F766" s="68"/>
      <c r="G766" s="68"/>
      <c r="H766" s="68"/>
      <c r="I766" s="68"/>
      <c r="J766" s="68"/>
      <c r="K766" s="68"/>
      <c r="L766" s="68"/>
    </row>
    <row r="767" spans="5:12" ht="15.75" customHeight="1" x14ac:dyDescent="0.2">
      <c r="E767" s="68"/>
      <c r="F767" s="68"/>
      <c r="G767" s="68"/>
      <c r="H767" s="68"/>
      <c r="I767" s="68"/>
      <c r="J767" s="68"/>
      <c r="K767" s="68"/>
      <c r="L767" s="68"/>
    </row>
    <row r="768" spans="5:12" ht="15.75" customHeight="1" x14ac:dyDescent="0.2">
      <c r="E768" s="68"/>
      <c r="F768" s="68"/>
      <c r="G768" s="68"/>
      <c r="H768" s="68"/>
      <c r="I768" s="68"/>
      <c r="J768" s="68"/>
      <c r="K768" s="68"/>
      <c r="L768" s="68"/>
    </row>
    <row r="769" spans="5:12" ht="15.75" customHeight="1" x14ac:dyDescent="0.2">
      <c r="E769" s="68"/>
      <c r="F769" s="68"/>
      <c r="G769" s="68"/>
      <c r="H769" s="68"/>
      <c r="I769" s="68"/>
      <c r="J769" s="68"/>
      <c r="K769" s="68"/>
      <c r="L769" s="68"/>
    </row>
    <row r="770" spans="5:12" ht="15.75" customHeight="1" x14ac:dyDescent="0.2">
      <c r="E770" s="68"/>
      <c r="F770" s="68"/>
      <c r="G770" s="68"/>
      <c r="H770" s="68"/>
      <c r="I770" s="68"/>
      <c r="J770" s="68"/>
      <c r="K770" s="68"/>
      <c r="L770" s="68"/>
    </row>
    <row r="771" spans="5:12" ht="15.75" customHeight="1" x14ac:dyDescent="0.2">
      <c r="E771" s="68"/>
      <c r="F771" s="68"/>
      <c r="G771" s="68"/>
      <c r="H771" s="68"/>
      <c r="I771" s="68"/>
      <c r="J771" s="68"/>
      <c r="K771" s="68"/>
      <c r="L771" s="68"/>
    </row>
    <row r="772" spans="5:12" ht="15.75" customHeight="1" x14ac:dyDescent="0.2">
      <c r="E772" s="68"/>
      <c r="F772" s="68"/>
      <c r="G772" s="68"/>
      <c r="H772" s="68"/>
      <c r="I772" s="68"/>
      <c r="J772" s="68"/>
      <c r="K772" s="68"/>
      <c r="L772" s="68"/>
    </row>
    <row r="773" spans="5:12" ht="15.75" customHeight="1" x14ac:dyDescent="0.2">
      <c r="E773" s="68"/>
      <c r="F773" s="68"/>
      <c r="G773" s="68"/>
      <c r="H773" s="68"/>
      <c r="I773" s="68"/>
      <c r="J773" s="68"/>
      <c r="K773" s="68"/>
      <c r="L773" s="68"/>
    </row>
    <row r="774" spans="5:12" ht="15.75" customHeight="1" x14ac:dyDescent="0.2">
      <c r="E774" s="68"/>
      <c r="F774" s="68"/>
      <c r="G774" s="68"/>
      <c r="H774" s="68"/>
      <c r="I774" s="68"/>
      <c r="J774" s="68"/>
      <c r="K774" s="68"/>
      <c r="L774" s="68"/>
    </row>
    <row r="775" spans="5:12" ht="15.75" customHeight="1" x14ac:dyDescent="0.2">
      <c r="E775" s="68"/>
      <c r="F775" s="68"/>
      <c r="G775" s="68"/>
      <c r="H775" s="68"/>
      <c r="I775" s="68"/>
      <c r="J775" s="68"/>
      <c r="K775" s="68"/>
      <c r="L775" s="68"/>
    </row>
    <row r="776" spans="5:12" ht="15.75" customHeight="1" x14ac:dyDescent="0.2">
      <c r="E776" s="68"/>
      <c r="F776" s="68"/>
      <c r="G776" s="68"/>
      <c r="H776" s="68"/>
      <c r="I776" s="68"/>
      <c r="J776" s="68"/>
      <c r="K776" s="68"/>
      <c r="L776" s="68"/>
    </row>
    <row r="777" spans="5:12" ht="15.75" customHeight="1" x14ac:dyDescent="0.2">
      <c r="E777" s="68"/>
      <c r="F777" s="68"/>
      <c r="G777" s="68"/>
      <c r="H777" s="68"/>
      <c r="I777" s="68"/>
      <c r="J777" s="68"/>
      <c r="K777" s="68"/>
      <c r="L777" s="68"/>
    </row>
    <row r="778" spans="5:12" ht="15.75" customHeight="1" x14ac:dyDescent="0.2">
      <c r="E778" s="68"/>
      <c r="F778" s="68"/>
      <c r="G778" s="68"/>
      <c r="H778" s="68"/>
      <c r="I778" s="68"/>
      <c r="J778" s="68"/>
      <c r="K778" s="68"/>
      <c r="L778" s="68"/>
    </row>
    <row r="779" spans="5:12" ht="15.75" customHeight="1" x14ac:dyDescent="0.2">
      <c r="E779" s="68"/>
      <c r="F779" s="68"/>
      <c r="G779" s="68"/>
      <c r="H779" s="68"/>
      <c r="I779" s="68"/>
      <c r="J779" s="68"/>
      <c r="K779" s="68"/>
      <c r="L779" s="68"/>
    </row>
    <row r="780" spans="5:12" ht="15.75" customHeight="1" x14ac:dyDescent="0.2">
      <c r="E780" s="68"/>
      <c r="F780" s="68"/>
      <c r="G780" s="68"/>
      <c r="H780" s="68"/>
      <c r="I780" s="68"/>
      <c r="J780" s="68"/>
      <c r="K780" s="68"/>
      <c r="L780" s="68"/>
    </row>
    <row r="781" spans="5:12" ht="15.75" customHeight="1" x14ac:dyDescent="0.2">
      <c r="E781" s="68"/>
      <c r="F781" s="68"/>
      <c r="G781" s="68"/>
      <c r="H781" s="68"/>
      <c r="I781" s="68"/>
      <c r="J781" s="68"/>
      <c r="K781" s="68"/>
      <c r="L781" s="68"/>
    </row>
    <row r="782" spans="5:12" ht="15.75" customHeight="1" x14ac:dyDescent="0.2">
      <c r="E782" s="68"/>
      <c r="F782" s="68"/>
      <c r="G782" s="68"/>
      <c r="H782" s="68"/>
      <c r="I782" s="68"/>
      <c r="J782" s="68"/>
      <c r="K782" s="68"/>
      <c r="L782" s="68"/>
    </row>
    <row r="783" spans="5:12" ht="15.75" customHeight="1" x14ac:dyDescent="0.2">
      <c r="E783" s="68"/>
      <c r="F783" s="68"/>
      <c r="G783" s="68"/>
      <c r="H783" s="68"/>
      <c r="I783" s="68"/>
      <c r="J783" s="68"/>
      <c r="K783" s="68"/>
      <c r="L783" s="68"/>
    </row>
    <row r="784" spans="5:12" ht="15.75" customHeight="1" x14ac:dyDescent="0.2">
      <c r="E784" s="68"/>
      <c r="F784" s="68"/>
      <c r="G784" s="68"/>
      <c r="H784" s="68"/>
      <c r="I784" s="68"/>
      <c r="J784" s="68"/>
      <c r="K784" s="68"/>
      <c r="L784" s="68"/>
    </row>
    <row r="785" spans="5:12" ht="15.75" customHeight="1" x14ac:dyDescent="0.2">
      <c r="E785" s="68"/>
      <c r="F785" s="68"/>
      <c r="G785" s="68"/>
      <c r="H785" s="68"/>
      <c r="I785" s="68"/>
      <c r="J785" s="68"/>
      <c r="K785" s="68"/>
      <c r="L785" s="68"/>
    </row>
    <row r="786" spans="5:12" ht="15.75" customHeight="1" x14ac:dyDescent="0.2">
      <c r="E786" s="68"/>
      <c r="F786" s="68"/>
      <c r="G786" s="68"/>
      <c r="H786" s="68"/>
      <c r="I786" s="68"/>
      <c r="J786" s="68"/>
      <c r="K786" s="68"/>
      <c r="L786" s="68"/>
    </row>
    <row r="787" spans="5:12" ht="15.75" customHeight="1" x14ac:dyDescent="0.2">
      <c r="E787" s="68"/>
      <c r="F787" s="68"/>
      <c r="G787" s="68"/>
      <c r="H787" s="68"/>
      <c r="I787" s="68"/>
      <c r="J787" s="68"/>
      <c r="K787" s="68"/>
      <c r="L787" s="68"/>
    </row>
    <row r="788" spans="5:12" ht="15.75" customHeight="1" x14ac:dyDescent="0.2">
      <c r="E788" s="68"/>
      <c r="F788" s="68"/>
      <c r="G788" s="68"/>
      <c r="H788" s="68"/>
      <c r="I788" s="68"/>
      <c r="J788" s="68"/>
      <c r="K788" s="68"/>
      <c r="L788" s="68"/>
    </row>
    <row r="789" spans="5:12" ht="15.75" customHeight="1" x14ac:dyDescent="0.2">
      <c r="E789" s="68"/>
      <c r="F789" s="68"/>
      <c r="G789" s="68"/>
      <c r="H789" s="68"/>
      <c r="I789" s="68"/>
      <c r="J789" s="68"/>
      <c r="K789" s="68"/>
      <c r="L789" s="68"/>
    </row>
    <row r="790" spans="5:12" ht="15.75" customHeight="1" x14ac:dyDescent="0.2">
      <c r="E790" s="68"/>
      <c r="F790" s="68"/>
      <c r="G790" s="68"/>
      <c r="H790" s="68"/>
      <c r="I790" s="68"/>
      <c r="J790" s="68"/>
      <c r="K790" s="68"/>
      <c r="L790" s="68"/>
    </row>
    <row r="791" spans="5:12" ht="15.75" customHeight="1" x14ac:dyDescent="0.2">
      <c r="E791" s="68"/>
      <c r="F791" s="68"/>
      <c r="G791" s="68"/>
      <c r="H791" s="68"/>
      <c r="I791" s="68"/>
      <c r="J791" s="68"/>
      <c r="K791" s="68"/>
      <c r="L791" s="68"/>
    </row>
    <row r="792" spans="5:12" ht="15.75" customHeight="1" x14ac:dyDescent="0.2">
      <c r="E792" s="68"/>
      <c r="F792" s="68"/>
      <c r="G792" s="68"/>
      <c r="H792" s="68"/>
      <c r="I792" s="68"/>
      <c r="J792" s="68"/>
      <c r="K792" s="68"/>
      <c r="L792" s="68"/>
    </row>
    <row r="793" spans="5:12" ht="15.75" customHeight="1" x14ac:dyDescent="0.2">
      <c r="E793" s="68"/>
      <c r="F793" s="68"/>
      <c r="G793" s="68"/>
      <c r="H793" s="68"/>
      <c r="I793" s="68"/>
      <c r="J793" s="68"/>
      <c r="K793" s="68"/>
      <c r="L793" s="68"/>
    </row>
    <row r="794" spans="5:12" ht="15.75" customHeight="1" x14ac:dyDescent="0.2">
      <c r="E794" s="68"/>
      <c r="F794" s="68"/>
      <c r="G794" s="68"/>
      <c r="H794" s="68"/>
      <c r="I794" s="68"/>
      <c r="J794" s="68"/>
      <c r="K794" s="68"/>
      <c r="L794" s="68"/>
    </row>
    <row r="795" spans="5:12" ht="15.75" customHeight="1" x14ac:dyDescent="0.2">
      <c r="E795" s="68"/>
      <c r="F795" s="68"/>
      <c r="G795" s="68"/>
      <c r="H795" s="68"/>
      <c r="I795" s="68"/>
      <c r="J795" s="68"/>
      <c r="K795" s="68"/>
      <c r="L795" s="68"/>
    </row>
    <row r="796" spans="5:12" ht="15.75" customHeight="1" x14ac:dyDescent="0.2">
      <c r="E796" s="68"/>
      <c r="F796" s="68"/>
      <c r="G796" s="68"/>
      <c r="H796" s="68"/>
      <c r="I796" s="68"/>
      <c r="J796" s="68"/>
      <c r="K796" s="68"/>
      <c r="L796" s="68"/>
    </row>
    <row r="797" spans="5:12" ht="15.75" customHeight="1" x14ac:dyDescent="0.2">
      <c r="E797" s="68"/>
      <c r="F797" s="68"/>
      <c r="G797" s="68"/>
      <c r="H797" s="68"/>
      <c r="I797" s="68"/>
      <c r="J797" s="68"/>
      <c r="K797" s="68"/>
      <c r="L797" s="68"/>
    </row>
    <row r="798" spans="5:12" ht="15.75" customHeight="1" x14ac:dyDescent="0.2">
      <c r="E798" s="68"/>
      <c r="F798" s="68"/>
      <c r="G798" s="68"/>
      <c r="H798" s="68"/>
      <c r="I798" s="68"/>
      <c r="J798" s="68"/>
      <c r="K798" s="68"/>
      <c r="L798" s="68"/>
    </row>
    <row r="799" spans="5:12" ht="15.75" customHeight="1" x14ac:dyDescent="0.2">
      <c r="E799" s="68"/>
      <c r="F799" s="68"/>
      <c r="G799" s="68"/>
      <c r="H799" s="68"/>
      <c r="I799" s="68"/>
      <c r="J799" s="68"/>
      <c r="K799" s="68"/>
      <c r="L799" s="68"/>
    </row>
    <row r="800" spans="5:12" ht="15.75" customHeight="1" x14ac:dyDescent="0.2">
      <c r="E800" s="68"/>
      <c r="F800" s="68"/>
      <c r="G800" s="68"/>
      <c r="H800" s="68"/>
      <c r="I800" s="68"/>
      <c r="J800" s="68"/>
      <c r="K800" s="68"/>
      <c r="L800" s="68"/>
    </row>
    <row r="801" spans="5:12" ht="15.75" customHeight="1" x14ac:dyDescent="0.2">
      <c r="E801" s="68"/>
      <c r="F801" s="68"/>
      <c r="G801" s="68"/>
      <c r="H801" s="68"/>
      <c r="I801" s="68"/>
      <c r="J801" s="68"/>
      <c r="K801" s="68"/>
      <c r="L801" s="68"/>
    </row>
    <row r="802" spans="5:12" ht="15.75" customHeight="1" x14ac:dyDescent="0.2">
      <c r="E802" s="68"/>
      <c r="F802" s="68"/>
      <c r="G802" s="68"/>
      <c r="H802" s="68"/>
      <c r="I802" s="68"/>
      <c r="J802" s="68"/>
      <c r="K802" s="68"/>
      <c r="L802" s="68"/>
    </row>
    <row r="803" spans="5:12" ht="15.75" customHeight="1" x14ac:dyDescent="0.2">
      <c r="E803" s="68"/>
      <c r="F803" s="68"/>
      <c r="G803" s="68"/>
      <c r="H803" s="68"/>
      <c r="I803" s="68"/>
      <c r="J803" s="68"/>
      <c r="K803" s="68"/>
      <c r="L803" s="68"/>
    </row>
    <row r="804" spans="5:12" ht="15.75" customHeight="1" x14ac:dyDescent="0.2">
      <c r="E804" s="68"/>
      <c r="F804" s="68"/>
      <c r="G804" s="68"/>
      <c r="H804" s="68"/>
      <c r="I804" s="68"/>
      <c r="J804" s="68"/>
      <c r="K804" s="68"/>
      <c r="L804" s="68"/>
    </row>
    <row r="805" spans="5:12" ht="15.75" customHeight="1" x14ac:dyDescent="0.2">
      <c r="E805" s="68"/>
      <c r="F805" s="68"/>
      <c r="G805" s="68"/>
      <c r="H805" s="68"/>
      <c r="I805" s="68"/>
      <c r="J805" s="68"/>
      <c r="K805" s="68"/>
      <c r="L805" s="68"/>
    </row>
    <row r="806" spans="5:12" ht="15.75" customHeight="1" x14ac:dyDescent="0.2">
      <c r="E806" s="68"/>
      <c r="F806" s="68"/>
      <c r="G806" s="68"/>
      <c r="H806" s="68"/>
      <c r="I806" s="68"/>
      <c r="J806" s="68"/>
      <c r="K806" s="68"/>
      <c r="L806" s="68"/>
    </row>
    <row r="807" spans="5:12" ht="15.75" customHeight="1" x14ac:dyDescent="0.2">
      <c r="E807" s="68"/>
      <c r="F807" s="68"/>
      <c r="G807" s="68"/>
      <c r="H807" s="68"/>
      <c r="I807" s="68"/>
      <c r="J807" s="68"/>
      <c r="K807" s="68"/>
      <c r="L807" s="68"/>
    </row>
    <row r="808" spans="5:12" ht="15.75" customHeight="1" x14ac:dyDescent="0.2">
      <c r="E808" s="68"/>
      <c r="F808" s="68"/>
      <c r="G808" s="68"/>
      <c r="H808" s="68"/>
      <c r="I808" s="68"/>
      <c r="J808" s="68"/>
      <c r="K808" s="68"/>
      <c r="L808" s="68"/>
    </row>
    <row r="809" spans="5:12" ht="15.75" customHeight="1" x14ac:dyDescent="0.2">
      <c r="E809" s="68"/>
      <c r="F809" s="68"/>
      <c r="G809" s="68"/>
      <c r="H809" s="68"/>
      <c r="I809" s="68"/>
      <c r="J809" s="68"/>
      <c r="K809" s="68"/>
      <c r="L809" s="68"/>
    </row>
    <row r="810" spans="5:12" ht="15.75" customHeight="1" x14ac:dyDescent="0.2">
      <c r="E810" s="68"/>
      <c r="F810" s="68"/>
      <c r="G810" s="68"/>
      <c r="H810" s="68"/>
      <c r="I810" s="68"/>
      <c r="J810" s="68"/>
      <c r="K810" s="68"/>
      <c r="L810" s="68"/>
    </row>
    <row r="811" spans="5:12" ht="15.75" customHeight="1" x14ac:dyDescent="0.2">
      <c r="E811" s="68"/>
      <c r="F811" s="68"/>
      <c r="G811" s="68"/>
      <c r="H811" s="68"/>
      <c r="I811" s="68"/>
      <c r="J811" s="68"/>
      <c r="K811" s="68"/>
      <c r="L811" s="68"/>
    </row>
    <row r="812" spans="5:12" ht="15.75" customHeight="1" x14ac:dyDescent="0.2">
      <c r="E812" s="68"/>
      <c r="F812" s="68"/>
      <c r="G812" s="68"/>
      <c r="H812" s="68"/>
      <c r="I812" s="68"/>
      <c r="J812" s="68"/>
      <c r="K812" s="68"/>
      <c r="L812" s="68"/>
    </row>
    <row r="813" spans="5:12" ht="15.75" customHeight="1" x14ac:dyDescent="0.2">
      <c r="E813" s="68"/>
      <c r="F813" s="68"/>
      <c r="G813" s="68"/>
      <c r="H813" s="68"/>
      <c r="I813" s="68"/>
      <c r="J813" s="68"/>
      <c r="K813" s="68"/>
      <c r="L813" s="68"/>
    </row>
    <row r="814" spans="5:12" ht="15.75" customHeight="1" x14ac:dyDescent="0.2">
      <c r="E814" s="68"/>
      <c r="F814" s="68"/>
      <c r="G814" s="68"/>
      <c r="H814" s="68"/>
      <c r="I814" s="68"/>
      <c r="J814" s="68"/>
      <c r="K814" s="68"/>
      <c r="L814" s="68"/>
    </row>
    <row r="815" spans="5:12" ht="15.75" customHeight="1" x14ac:dyDescent="0.2">
      <c r="E815" s="68"/>
      <c r="F815" s="68"/>
      <c r="G815" s="68"/>
      <c r="H815" s="68"/>
      <c r="I815" s="68"/>
      <c r="J815" s="68"/>
      <c r="K815" s="68"/>
      <c r="L815" s="68"/>
    </row>
    <row r="816" spans="5:12" ht="15.75" customHeight="1" x14ac:dyDescent="0.2">
      <c r="E816" s="68"/>
      <c r="F816" s="68"/>
      <c r="G816" s="68"/>
      <c r="H816" s="68"/>
      <c r="I816" s="68"/>
      <c r="J816" s="68"/>
      <c r="K816" s="68"/>
      <c r="L816" s="68"/>
    </row>
    <row r="817" spans="5:12" ht="15.75" customHeight="1" x14ac:dyDescent="0.2">
      <c r="E817" s="68"/>
      <c r="F817" s="68"/>
      <c r="G817" s="68"/>
      <c r="H817" s="68"/>
      <c r="I817" s="68"/>
      <c r="J817" s="68"/>
      <c r="K817" s="68"/>
      <c r="L817" s="68"/>
    </row>
    <row r="818" spans="5:12" ht="15.75" customHeight="1" x14ac:dyDescent="0.2">
      <c r="E818" s="68"/>
      <c r="F818" s="68"/>
      <c r="G818" s="68"/>
      <c r="H818" s="68"/>
      <c r="I818" s="68"/>
      <c r="J818" s="68"/>
      <c r="K818" s="68"/>
      <c r="L818" s="68"/>
    </row>
    <row r="819" spans="5:12" ht="15.75" customHeight="1" x14ac:dyDescent="0.2">
      <c r="E819" s="68"/>
      <c r="F819" s="68"/>
      <c r="G819" s="68"/>
      <c r="H819" s="68"/>
      <c r="I819" s="68"/>
      <c r="J819" s="68"/>
      <c r="K819" s="68"/>
      <c r="L819" s="68"/>
    </row>
    <row r="820" spans="5:12" ht="15.75" customHeight="1" x14ac:dyDescent="0.2">
      <c r="E820" s="68"/>
      <c r="F820" s="68"/>
      <c r="G820" s="68"/>
      <c r="H820" s="68"/>
      <c r="I820" s="68"/>
      <c r="J820" s="68"/>
      <c r="K820" s="68"/>
      <c r="L820" s="68"/>
    </row>
    <row r="821" spans="5:12" ht="15.75" customHeight="1" x14ac:dyDescent="0.2">
      <c r="E821" s="68"/>
      <c r="F821" s="68"/>
      <c r="G821" s="68"/>
      <c r="H821" s="68"/>
      <c r="I821" s="68"/>
      <c r="J821" s="68"/>
      <c r="K821" s="68"/>
      <c r="L821" s="68"/>
    </row>
    <row r="822" spans="5:12" ht="15.75" customHeight="1" x14ac:dyDescent="0.2">
      <c r="E822" s="68"/>
      <c r="F822" s="68"/>
      <c r="G822" s="68"/>
      <c r="H822" s="68"/>
      <c r="I822" s="68"/>
      <c r="J822" s="68"/>
      <c r="K822" s="68"/>
      <c r="L822" s="68"/>
    </row>
    <row r="823" spans="5:12" ht="15.75" customHeight="1" x14ac:dyDescent="0.2">
      <c r="E823" s="68"/>
      <c r="F823" s="68"/>
      <c r="G823" s="68"/>
      <c r="H823" s="68"/>
      <c r="I823" s="68"/>
      <c r="J823" s="68"/>
      <c r="K823" s="68"/>
      <c r="L823" s="68"/>
    </row>
    <row r="824" spans="5:12" ht="15.75" customHeight="1" x14ac:dyDescent="0.2">
      <c r="E824" s="68"/>
      <c r="F824" s="68"/>
      <c r="G824" s="68"/>
      <c r="H824" s="68"/>
      <c r="I824" s="68"/>
      <c r="J824" s="68"/>
      <c r="K824" s="68"/>
      <c r="L824" s="68"/>
    </row>
    <row r="825" spans="5:12" ht="15.75" customHeight="1" x14ac:dyDescent="0.2">
      <c r="E825" s="68"/>
      <c r="F825" s="68"/>
      <c r="G825" s="68"/>
      <c r="H825" s="68"/>
      <c r="I825" s="68"/>
      <c r="J825" s="68"/>
      <c r="K825" s="68"/>
      <c r="L825" s="68"/>
    </row>
    <row r="826" spans="5:12" ht="15.75" customHeight="1" x14ac:dyDescent="0.2">
      <c r="E826" s="68"/>
      <c r="F826" s="68"/>
      <c r="G826" s="68"/>
      <c r="H826" s="68"/>
      <c r="I826" s="68"/>
      <c r="J826" s="68"/>
      <c r="K826" s="68"/>
      <c r="L826" s="68"/>
    </row>
    <row r="827" spans="5:12" ht="15.75" customHeight="1" x14ac:dyDescent="0.2">
      <c r="E827" s="68"/>
      <c r="F827" s="68"/>
      <c r="G827" s="68"/>
      <c r="H827" s="68"/>
      <c r="I827" s="68"/>
      <c r="J827" s="68"/>
      <c r="K827" s="68"/>
      <c r="L827" s="68"/>
    </row>
    <row r="828" spans="5:12" ht="15.75" customHeight="1" x14ac:dyDescent="0.2">
      <c r="E828" s="68"/>
      <c r="F828" s="68"/>
      <c r="G828" s="68"/>
      <c r="H828" s="68"/>
      <c r="I828" s="68"/>
      <c r="J828" s="68"/>
      <c r="K828" s="68"/>
      <c r="L828" s="68"/>
    </row>
    <row r="829" spans="5:12" ht="15.75" customHeight="1" x14ac:dyDescent="0.2">
      <c r="E829" s="68"/>
      <c r="F829" s="68"/>
      <c r="G829" s="68"/>
      <c r="H829" s="68"/>
      <c r="I829" s="68"/>
      <c r="J829" s="68"/>
      <c r="K829" s="68"/>
      <c r="L829" s="68"/>
    </row>
    <row r="830" spans="5:12" ht="15.75" customHeight="1" x14ac:dyDescent="0.2">
      <c r="E830" s="68"/>
      <c r="F830" s="68"/>
      <c r="G830" s="68"/>
      <c r="H830" s="68"/>
      <c r="I830" s="68"/>
      <c r="J830" s="68"/>
      <c r="K830" s="68"/>
      <c r="L830" s="68"/>
    </row>
    <row r="831" spans="5:12" ht="15.75" customHeight="1" x14ac:dyDescent="0.2">
      <c r="E831" s="68"/>
      <c r="F831" s="68"/>
      <c r="G831" s="68"/>
      <c r="H831" s="68"/>
      <c r="I831" s="68"/>
      <c r="J831" s="68"/>
      <c r="K831" s="68"/>
      <c r="L831" s="68"/>
    </row>
    <row r="832" spans="5:12" ht="15.75" customHeight="1" x14ac:dyDescent="0.2">
      <c r="E832" s="68"/>
      <c r="F832" s="68"/>
      <c r="G832" s="68"/>
      <c r="H832" s="68"/>
      <c r="I832" s="68"/>
      <c r="J832" s="68"/>
      <c r="K832" s="68"/>
      <c r="L832" s="68"/>
    </row>
    <row r="833" spans="5:12" ht="15.75" customHeight="1" x14ac:dyDescent="0.2">
      <c r="E833" s="68"/>
      <c r="F833" s="68"/>
      <c r="G833" s="68"/>
      <c r="H833" s="68"/>
      <c r="I833" s="68"/>
      <c r="J833" s="68"/>
      <c r="K833" s="68"/>
      <c r="L833" s="68"/>
    </row>
    <row r="834" spans="5:12" ht="15.75" customHeight="1" x14ac:dyDescent="0.2">
      <c r="E834" s="68"/>
      <c r="F834" s="68"/>
      <c r="G834" s="68"/>
      <c r="H834" s="68"/>
      <c r="I834" s="68"/>
      <c r="J834" s="68"/>
      <c r="K834" s="68"/>
      <c r="L834" s="68"/>
    </row>
    <row r="835" spans="5:12" ht="15.75" customHeight="1" x14ac:dyDescent="0.2">
      <c r="E835" s="68"/>
      <c r="F835" s="68"/>
      <c r="G835" s="68"/>
      <c r="H835" s="68"/>
      <c r="I835" s="68"/>
      <c r="J835" s="68"/>
      <c r="K835" s="68"/>
      <c r="L835" s="68"/>
    </row>
    <row r="836" spans="5:12" ht="15.75" customHeight="1" x14ac:dyDescent="0.2">
      <c r="E836" s="68"/>
      <c r="F836" s="68"/>
      <c r="G836" s="68"/>
      <c r="H836" s="68"/>
      <c r="I836" s="68"/>
      <c r="J836" s="68"/>
      <c r="K836" s="68"/>
      <c r="L836" s="68"/>
    </row>
    <row r="837" spans="5:12" ht="15.75" customHeight="1" x14ac:dyDescent="0.2">
      <c r="E837" s="68"/>
      <c r="F837" s="68"/>
      <c r="G837" s="68"/>
      <c r="H837" s="68"/>
      <c r="I837" s="68"/>
      <c r="J837" s="68"/>
      <c r="K837" s="68"/>
      <c r="L837" s="68"/>
    </row>
    <row r="838" spans="5:12" ht="15.75" customHeight="1" x14ac:dyDescent="0.2">
      <c r="E838" s="68"/>
      <c r="F838" s="68"/>
      <c r="G838" s="68"/>
      <c r="H838" s="68"/>
      <c r="I838" s="68"/>
      <c r="J838" s="68"/>
      <c r="K838" s="68"/>
      <c r="L838" s="68"/>
    </row>
    <row r="839" spans="5:12" ht="15.75" customHeight="1" x14ac:dyDescent="0.2">
      <c r="E839" s="68"/>
      <c r="F839" s="68"/>
      <c r="G839" s="68"/>
      <c r="H839" s="68"/>
      <c r="I839" s="68"/>
      <c r="J839" s="68"/>
      <c r="K839" s="68"/>
      <c r="L839" s="68"/>
    </row>
    <row r="840" spans="5:12" ht="15.75" customHeight="1" x14ac:dyDescent="0.2">
      <c r="E840" s="68"/>
      <c r="F840" s="68"/>
      <c r="G840" s="68"/>
      <c r="H840" s="68"/>
      <c r="I840" s="68"/>
      <c r="J840" s="68"/>
      <c r="K840" s="68"/>
      <c r="L840" s="68"/>
    </row>
    <row r="841" spans="5:12" ht="15.75" customHeight="1" x14ac:dyDescent="0.2">
      <c r="E841" s="68"/>
      <c r="F841" s="68"/>
      <c r="G841" s="68"/>
      <c r="H841" s="68"/>
      <c r="I841" s="68"/>
      <c r="J841" s="68"/>
      <c r="K841" s="68"/>
      <c r="L841" s="68"/>
    </row>
    <row r="842" spans="5:12" ht="15.75" customHeight="1" x14ac:dyDescent="0.2">
      <c r="E842" s="68"/>
      <c r="F842" s="68"/>
      <c r="G842" s="68"/>
      <c r="H842" s="68"/>
      <c r="I842" s="68"/>
      <c r="J842" s="68"/>
      <c r="K842" s="68"/>
      <c r="L842" s="68"/>
    </row>
    <row r="843" spans="5:12" ht="15.75" customHeight="1" x14ac:dyDescent="0.2">
      <c r="E843" s="68"/>
      <c r="F843" s="68"/>
      <c r="G843" s="68"/>
      <c r="H843" s="68"/>
      <c r="I843" s="68"/>
      <c r="J843" s="68"/>
      <c r="K843" s="68"/>
      <c r="L843" s="68"/>
    </row>
    <row r="844" spans="5:12" ht="15.75" customHeight="1" x14ac:dyDescent="0.2">
      <c r="E844" s="68"/>
      <c r="F844" s="68"/>
      <c r="G844" s="68"/>
      <c r="H844" s="68"/>
      <c r="I844" s="68"/>
      <c r="J844" s="68"/>
      <c r="K844" s="68"/>
      <c r="L844" s="68"/>
    </row>
    <row r="845" spans="5:12" ht="15.75" customHeight="1" x14ac:dyDescent="0.2">
      <c r="E845" s="68"/>
      <c r="F845" s="68"/>
      <c r="G845" s="68"/>
      <c r="H845" s="68"/>
      <c r="I845" s="68"/>
      <c r="J845" s="68"/>
      <c r="K845" s="68"/>
      <c r="L845" s="68"/>
    </row>
    <row r="846" spans="5:12" ht="15.75" customHeight="1" x14ac:dyDescent="0.2">
      <c r="E846" s="68"/>
      <c r="F846" s="68"/>
      <c r="G846" s="68"/>
      <c r="H846" s="68"/>
      <c r="I846" s="68"/>
      <c r="J846" s="68"/>
      <c r="K846" s="68"/>
      <c r="L846" s="68"/>
    </row>
    <row r="847" spans="5:12" ht="15.75" customHeight="1" x14ac:dyDescent="0.2">
      <c r="E847" s="68"/>
      <c r="F847" s="68"/>
      <c r="G847" s="68"/>
      <c r="H847" s="68"/>
      <c r="I847" s="68"/>
      <c r="J847" s="68"/>
      <c r="K847" s="68"/>
      <c r="L847" s="68"/>
    </row>
    <row r="848" spans="5:12" ht="15.75" customHeight="1" x14ac:dyDescent="0.2">
      <c r="E848" s="68"/>
      <c r="F848" s="68"/>
      <c r="G848" s="68"/>
      <c r="H848" s="68"/>
      <c r="I848" s="68"/>
      <c r="J848" s="68"/>
      <c r="K848" s="68"/>
      <c r="L848" s="68"/>
    </row>
    <row r="849" spans="5:12" ht="15.75" customHeight="1" x14ac:dyDescent="0.2">
      <c r="E849" s="68"/>
      <c r="F849" s="68"/>
      <c r="G849" s="68"/>
      <c r="H849" s="68"/>
      <c r="I849" s="68"/>
      <c r="J849" s="68"/>
      <c r="K849" s="68"/>
      <c r="L849" s="68"/>
    </row>
    <row r="850" spans="5:12" ht="15.75" customHeight="1" x14ac:dyDescent="0.2">
      <c r="E850" s="68"/>
      <c r="F850" s="68"/>
      <c r="G850" s="68"/>
      <c r="H850" s="68"/>
      <c r="I850" s="68"/>
      <c r="J850" s="68"/>
      <c r="K850" s="68"/>
      <c r="L850" s="68"/>
    </row>
    <row r="851" spans="5:12" ht="15.75" customHeight="1" x14ac:dyDescent="0.2">
      <c r="E851" s="68"/>
      <c r="F851" s="68"/>
      <c r="G851" s="68"/>
      <c r="H851" s="68"/>
      <c r="I851" s="68"/>
      <c r="J851" s="68"/>
      <c r="K851" s="68"/>
      <c r="L851" s="68"/>
    </row>
    <row r="852" spans="5:12" ht="15.75" customHeight="1" x14ac:dyDescent="0.2">
      <c r="E852" s="68"/>
      <c r="F852" s="68"/>
      <c r="G852" s="68"/>
      <c r="H852" s="68"/>
      <c r="I852" s="68"/>
      <c r="J852" s="68"/>
      <c r="K852" s="68"/>
      <c r="L852" s="68"/>
    </row>
    <row r="853" spans="5:12" ht="15.75" customHeight="1" x14ac:dyDescent="0.2">
      <c r="E853" s="68"/>
      <c r="F853" s="68"/>
      <c r="G853" s="68"/>
      <c r="H853" s="68"/>
      <c r="I853" s="68"/>
      <c r="J853" s="68"/>
      <c r="K853" s="68"/>
      <c r="L853" s="68"/>
    </row>
    <row r="854" spans="5:12" ht="15.75" customHeight="1" x14ac:dyDescent="0.2">
      <c r="E854" s="68"/>
      <c r="F854" s="68"/>
      <c r="G854" s="68"/>
      <c r="H854" s="68"/>
      <c r="I854" s="68"/>
      <c r="J854" s="68"/>
      <c r="K854" s="68"/>
      <c r="L854" s="68"/>
    </row>
    <row r="855" spans="5:12" ht="15.75" customHeight="1" x14ac:dyDescent="0.2">
      <c r="E855" s="68"/>
      <c r="F855" s="68"/>
      <c r="G855" s="68"/>
      <c r="H855" s="68"/>
      <c r="I855" s="68"/>
      <c r="J855" s="68"/>
      <c r="K855" s="68"/>
      <c r="L855" s="68"/>
    </row>
    <row r="856" spans="5:12" ht="15.75" customHeight="1" x14ac:dyDescent="0.2">
      <c r="E856" s="68"/>
      <c r="F856" s="68"/>
      <c r="G856" s="68"/>
      <c r="H856" s="68"/>
      <c r="I856" s="68"/>
      <c r="J856" s="68"/>
      <c r="K856" s="68"/>
      <c r="L856" s="68"/>
    </row>
    <row r="857" spans="5:12" ht="15.75" customHeight="1" x14ac:dyDescent="0.2">
      <c r="E857" s="68"/>
      <c r="F857" s="68"/>
      <c r="G857" s="68"/>
      <c r="H857" s="68"/>
      <c r="I857" s="68"/>
      <c r="J857" s="68"/>
      <c r="K857" s="68"/>
      <c r="L857" s="68"/>
    </row>
    <row r="858" spans="5:12" ht="15.75" customHeight="1" x14ac:dyDescent="0.2">
      <c r="E858" s="68"/>
      <c r="F858" s="68"/>
      <c r="G858" s="68"/>
      <c r="H858" s="68"/>
      <c r="I858" s="68"/>
      <c r="J858" s="68"/>
      <c r="K858" s="68"/>
      <c r="L858" s="68"/>
    </row>
    <row r="859" spans="5:12" ht="15.75" customHeight="1" x14ac:dyDescent="0.2">
      <c r="E859" s="68"/>
      <c r="F859" s="68"/>
      <c r="G859" s="68"/>
      <c r="H859" s="68"/>
      <c r="I859" s="68"/>
      <c r="J859" s="68"/>
      <c r="K859" s="68"/>
      <c r="L859" s="68"/>
    </row>
    <row r="860" spans="5:12" ht="15.75" customHeight="1" x14ac:dyDescent="0.2">
      <c r="E860" s="68"/>
      <c r="F860" s="68"/>
      <c r="G860" s="68"/>
      <c r="H860" s="68"/>
      <c r="I860" s="68"/>
      <c r="J860" s="68"/>
      <c r="K860" s="68"/>
      <c r="L860" s="68"/>
    </row>
    <row r="861" spans="5:12" ht="15.75" customHeight="1" x14ac:dyDescent="0.2">
      <c r="E861" s="68"/>
      <c r="F861" s="68"/>
      <c r="G861" s="68"/>
      <c r="H861" s="68"/>
      <c r="I861" s="68"/>
      <c r="J861" s="68"/>
      <c r="K861" s="68"/>
      <c r="L861" s="68"/>
    </row>
    <row r="862" spans="5:12" ht="15.75" customHeight="1" x14ac:dyDescent="0.2">
      <c r="E862" s="68"/>
      <c r="F862" s="68"/>
      <c r="G862" s="68"/>
      <c r="H862" s="68"/>
      <c r="I862" s="68"/>
      <c r="J862" s="68"/>
      <c r="K862" s="68"/>
      <c r="L862" s="68"/>
    </row>
    <row r="863" spans="5:12" ht="15.75" customHeight="1" x14ac:dyDescent="0.2">
      <c r="E863" s="68"/>
      <c r="F863" s="68"/>
      <c r="G863" s="68"/>
      <c r="H863" s="68"/>
      <c r="I863" s="68"/>
      <c r="J863" s="68"/>
      <c r="K863" s="68"/>
      <c r="L863" s="68"/>
    </row>
    <row r="864" spans="5:12" ht="15.75" customHeight="1" x14ac:dyDescent="0.2">
      <c r="E864" s="68"/>
      <c r="F864" s="68"/>
      <c r="G864" s="68"/>
      <c r="H864" s="68"/>
      <c r="I864" s="68"/>
      <c r="J864" s="68"/>
      <c r="K864" s="68"/>
      <c r="L864" s="68"/>
    </row>
    <row r="865" spans="5:12" ht="15.75" customHeight="1" x14ac:dyDescent="0.2">
      <c r="E865" s="68"/>
      <c r="F865" s="68"/>
      <c r="G865" s="68"/>
      <c r="H865" s="68"/>
      <c r="I865" s="68"/>
      <c r="J865" s="68"/>
      <c r="K865" s="68"/>
      <c r="L865" s="68"/>
    </row>
    <row r="866" spans="5:12" ht="15.75" customHeight="1" x14ac:dyDescent="0.2">
      <c r="E866" s="68"/>
      <c r="F866" s="68"/>
      <c r="G866" s="68"/>
      <c r="H866" s="68"/>
      <c r="I866" s="68"/>
      <c r="J866" s="68"/>
      <c r="K866" s="68"/>
      <c r="L866" s="68"/>
    </row>
    <row r="867" spans="5:12" ht="15.75" customHeight="1" x14ac:dyDescent="0.2">
      <c r="E867" s="68"/>
      <c r="F867" s="68"/>
      <c r="G867" s="68"/>
      <c r="H867" s="68"/>
      <c r="I867" s="68"/>
      <c r="J867" s="68"/>
      <c r="K867" s="68"/>
      <c r="L867" s="68"/>
    </row>
    <row r="868" spans="5:12" ht="15.75" customHeight="1" x14ac:dyDescent="0.2">
      <c r="E868" s="68"/>
      <c r="F868" s="68"/>
      <c r="G868" s="68"/>
      <c r="H868" s="68"/>
      <c r="I868" s="68"/>
      <c r="J868" s="68"/>
      <c r="K868" s="68"/>
      <c r="L868" s="68"/>
    </row>
    <row r="869" spans="5:12" ht="15.75" customHeight="1" x14ac:dyDescent="0.2">
      <c r="E869" s="68"/>
      <c r="F869" s="68"/>
      <c r="G869" s="68"/>
      <c r="H869" s="68"/>
      <c r="I869" s="68"/>
      <c r="J869" s="68"/>
      <c r="K869" s="68"/>
      <c r="L869" s="68"/>
    </row>
    <row r="870" spans="5:12" ht="15.75" customHeight="1" x14ac:dyDescent="0.2">
      <c r="E870" s="68"/>
      <c r="F870" s="68"/>
      <c r="G870" s="68"/>
      <c r="H870" s="68"/>
      <c r="I870" s="68"/>
      <c r="J870" s="68"/>
      <c r="K870" s="68"/>
      <c r="L870" s="68"/>
    </row>
    <row r="871" spans="5:12" ht="15.75" customHeight="1" x14ac:dyDescent="0.2">
      <c r="E871" s="68"/>
      <c r="F871" s="68"/>
      <c r="G871" s="68"/>
      <c r="H871" s="68"/>
      <c r="I871" s="68"/>
      <c r="J871" s="68"/>
      <c r="K871" s="68"/>
      <c r="L871" s="68"/>
    </row>
    <row r="872" spans="5:12" ht="15.75" customHeight="1" x14ac:dyDescent="0.2">
      <c r="E872" s="68"/>
      <c r="F872" s="68"/>
      <c r="G872" s="68"/>
      <c r="H872" s="68"/>
      <c r="I872" s="68"/>
      <c r="J872" s="68"/>
      <c r="K872" s="68"/>
      <c r="L872" s="68"/>
    </row>
    <row r="873" spans="5:12" ht="15.75" customHeight="1" x14ac:dyDescent="0.2">
      <c r="E873" s="68"/>
      <c r="F873" s="68"/>
      <c r="G873" s="68"/>
      <c r="H873" s="68"/>
      <c r="I873" s="68"/>
      <c r="J873" s="68"/>
      <c r="K873" s="68"/>
      <c r="L873" s="68"/>
    </row>
    <row r="874" spans="5:12" ht="15.75" customHeight="1" x14ac:dyDescent="0.2">
      <c r="E874" s="68"/>
      <c r="F874" s="68"/>
      <c r="G874" s="68"/>
      <c r="H874" s="68"/>
      <c r="I874" s="68"/>
      <c r="J874" s="68"/>
      <c r="K874" s="68"/>
      <c r="L874" s="68"/>
    </row>
    <row r="875" spans="5:12" ht="15.75" customHeight="1" x14ac:dyDescent="0.2">
      <c r="E875" s="68"/>
      <c r="F875" s="68"/>
      <c r="G875" s="68"/>
      <c r="H875" s="68"/>
      <c r="I875" s="68"/>
      <c r="J875" s="68"/>
      <c r="K875" s="68"/>
      <c r="L875" s="68"/>
    </row>
    <row r="876" spans="5:12" ht="15.75" customHeight="1" x14ac:dyDescent="0.2">
      <c r="E876" s="68"/>
      <c r="F876" s="68"/>
      <c r="G876" s="68"/>
      <c r="H876" s="68"/>
      <c r="I876" s="68"/>
      <c r="J876" s="68"/>
      <c r="K876" s="68"/>
      <c r="L876" s="68"/>
    </row>
    <row r="877" spans="5:12" ht="15.75" customHeight="1" x14ac:dyDescent="0.2">
      <c r="E877" s="68"/>
      <c r="F877" s="68"/>
      <c r="G877" s="68"/>
      <c r="H877" s="68"/>
      <c r="I877" s="68"/>
      <c r="J877" s="68"/>
      <c r="K877" s="68"/>
      <c r="L877" s="68"/>
    </row>
    <row r="878" spans="5:12" ht="15.75" customHeight="1" x14ac:dyDescent="0.2">
      <c r="E878" s="68"/>
      <c r="F878" s="68"/>
      <c r="G878" s="68"/>
      <c r="H878" s="68"/>
      <c r="I878" s="68"/>
      <c r="J878" s="68"/>
      <c r="K878" s="68"/>
      <c r="L878" s="68"/>
    </row>
    <row r="879" spans="5:12" ht="15.75" customHeight="1" x14ac:dyDescent="0.2">
      <c r="E879" s="68"/>
      <c r="F879" s="68"/>
      <c r="G879" s="68"/>
      <c r="H879" s="68"/>
      <c r="I879" s="68"/>
      <c r="J879" s="68"/>
      <c r="K879" s="68"/>
      <c r="L879" s="68"/>
    </row>
    <row r="880" spans="5:12" ht="15.75" customHeight="1" x14ac:dyDescent="0.2">
      <c r="E880" s="68"/>
      <c r="F880" s="68"/>
      <c r="G880" s="68"/>
      <c r="H880" s="68"/>
      <c r="I880" s="68"/>
      <c r="J880" s="68"/>
      <c r="K880" s="68"/>
      <c r="L880" s="68"/>
    </row>
    <row r="881" spans="5:12" ht="15.75" customHeight="1" x14ac:dyDescent="0.2">
      <c r="E881" s="68"/>
      <c r="F881" s="68"/>
      <c r="G881" s="68"/>
      <c r="H881" s="68"/>
      <c r="I881" s="68"/>
      <c r="J881" s="68"/>
      <c r="K881" s="68"/>
      <c r="L881" s="68"/>
    </row>
    <row r="882" spans="5:12" ht="15.75" customHeight="1" x14ac:dyDescent="0.2">
      <c r="E882" s="68"/>
      <c r="F882" s="68"/>
      <c r="G882" s="68"/>
      <c r="H882" s="68"/>
      <c r="I882" s="68"/>
      <c r="J882" s="68"/>
      <c r="K882" s="68"/>
      <c r="L882" s="68"/>
    </row>
    <row r="883" spans="5:12" ht="15.75" customHeight="1" x14ac:dyDescent="0.2">
      <c r="E883" s="68"/>
      <c r="F883" s="68"/>
      <c r="G883" s="68"/>
      <c r="H883" s="68"/>
      <c r="I883" s="68"/>
      <c r="J883" s="68"/>
      <c r="K883" s="68"/>
      <c r="L883" s="68"/>
    </row>
    <row r="884" spans="5:12" ht="15.75" customHeight="1" x14ac:dyDescent="0.2">
      <c r="E884" s="68"/>
      <c r="F884" s="68"/>
      <c r="G884" s="68"/>
      <c r="H884" s="68"/>
      <c r="I884" s="68"/>
      <c r="J884" s="68"/>
      <c r="K884" s="68"/>
      <c r="L884" s="68"/>
    </row>
    <row r="885" spans="5:12" ht="15.75" customHeight="1" x14ac:dyDescent="0.2">
      <c r="E885" s="68"/>
      <c r="F885" s="68"/>
      <c r="G885" s="68"/>
      <c r="H885" s="68"/>
      <c r="I885" s="68"/>
      <c r="J885" s="68"/>
      <c r="K885" s="68"/>
      <c r="L885" s="68"/>
    </row>
    <row r="886" spans="5:12" ht="15.75" customHeight="1" x14ac:dyDescent="0.2">
      <c r="E886" s="68"/>
      <c r="F886" s="68"/>
      <c r="G886" s="68"/>
      <c r="H886" s="68"/>
      <c r="I886" s="68"/>
      <c r="J886" s="68"/>
      <c r="K886" s="68"/>
      <c r="L886" s="68"/>
    </row>
    <row r="887" spans="5:12" ht="15.75" customHeight="1" x14ac:dyDescent="0.2">
      <c r="E887" s="68"/>
      <c r="F887" s="68"/>
      <c r="G887" s="68"/>
      <c r="H887" s="68"/>
      <c r="I887" s="68"/>
      <c r="J887" s="68"/>
      <c r="K887" s="68"/>
      <c r="L887" s="68"/>
    </row>
    <row r="888" spans="5:12" ht="15.75" customHeight="1" x14ac:dyDescent="0.2">
      <c r="E888" s="68"/>
      <c r="F888" s="68"/>
      <c r="G888" s="68"/>
      <c r="H888" s="68"/>
      <c r="I888" s="68"/>
      <c r="J888" s="68"/>
      <c r="K888" s="68"/>
      <c r="L888" s="68"/>
    </row>
    <row r="889" spans="5:12" ht="15.75" customHeight="1" x14ac:dyDescent="0.2">
      <c r="E889" s="68"/>
      <c r="F889" s="68"/>
      <c r="G889" s="68"/>
      <c r="H889" s="68"/>
      <c r="I889" s="68"/>
      <c r="J889" s="68"/>
      <c r="K889" s="68"/>
      <c r="L889" s="68"/>
    </row>
    <row r="890" spans="5:12" ht="15.75" customHeight="1" x14ac:dyDescent="0.2">
      <c r="E890" s="68"/>
      <c r="F890" s="68"/>
      <c r="G890" s="68"/>
      <c r="H890" s="68"/>
      <c r="I890" s="68"/>
      <c r="J890" s="68"/>
      <c r="K890" s="68"/>
      <c r="L890" s="68"/>
    </row>
    <row r="891" spans="5:12" ht="15.75" customHeight="1" x14ac:dyDescent="0.2">
      <c r="E891" s="68"/>
      <c r="F891" s="68"/>
      <c r="G891" s="68"/>
      <c r="H891" s="68"/>
      <c r="I891" s="68"/>
      <c r="J891" s="68"/>
      <c r="K891" s="68"/>
      <c r="L891" s="68"/>
    </row>
    <row r="892" spans="5:12" ht="15.75" customHeight="1" x14ac:dyDescent="0.2">
      <c r="E892" s="68"/>
      <c r="F892" s="68"/>
      <c r="G892" s="68"/>
      <c r="H892" s="68"/>
      <c r="I892" s="68"/>
      <c r="J892" s="68"/>
      <c r="K892" s="68"/>
      <c r="L892" s="68"/>
    </row>
    <row r="893" spans="5:12" ht="15.75" customHeight="1" x14ac:dyDescent="0.2">
      <c r="E893" s="68"/>
      <c r="F893" s="68"/>
      <c r="G893" s="68"/>
      <c r="H893" s="68"/>
      <c r="I893" s="68"/>
      <c r="J893" s="68"/>
      <c r="K893" s="68"/>
      <c r="L893" s="68"/>
    </row>
    <row r="894" spans="5:12" ht="15.75" customHeight="1" x14ac:dyDescent="0.2">
      <c r="E894" s="68"/>
      <c r="F894" s="68"/>
      <c r="G894" s="68"/>
      <c r="H894" s="68"/>
      <c r="I894" s="68"/>
      <c r="J894" s="68"/>
      <c r="K894" s="68"/>
      <c r="L894" s="68"/>
    </row>
    <row r="895" spans="5:12" ht="15.75" customHeight="1" x14ac:dyDescent="0.2">
      <c r="E895" s="68"/>
      <c r="F895" s="68"/>
      <c r="G895" s="68"/>
      <c r="H895" s="68"/>
      <c r="I895" s="68"/>
      <c r="J895" s="68"/>
      <c r="K895" s="68"/>
      <c r="L895" s="68"/>
    </row>
    <row r="896" spans="5:12" ht="15.75" customHeight="1" x14ac:dyDescent="0.2">
      <c r="E896" s="68"/>
      <c r="F896" s="68"/>
      <c r="G896" s="68"/>
      <c r="H896" s="68"/>
      <c r="I896" s="68"/>
      <c r="J896" s="68"/>
      <c r="K896" s="68"/>
      <c r="L896" s="68"/>
    </row>
    <row r="897" spans="5:12" ht="15.75" customHeight="1" x14ac:dyDescent="0.2">
      <c r="E897" s="68"/>
      <c r="F897" s="68"/>
      <c r="G897" s="68"/>
      <c r="H897" s="68"/>
      <c r="I897" s="68"/>
      <c r="J897" s="68"/>
      <c r="K897" s="68"/>
      <c r="L897" s="68"/>
    </row>
    <row r="898" spans="5:12" ht="15.75" customHeight="1" x14ac:dyDescent="0.2">
      <c r="E898" s="68"/>
      <c r="F898" s="68"/>
      <c r="G898" s="68"/>
      <c r="H898" s="68"/>
      <c r="I898" s="68"/>
      <c r="J898" s="68"/>
      <c r="K898" s="68"/>
      <c r="L898" s="68"/>
    </row>
    <row r="899" spans="5:12" ht="15.75" customHeight="1" x14ac:dyDescent="0.2">
      <c r="E899" s="68"/>
      <c r="F899" s="68"/>
      <c r="G899" s="68"/>
      <c r="H899" s="68"/>
      <c r="I899" s="68"/>
      <c r="J899" s="68"/>
      <c r="K899" s="68"/>
      <c r="L899" s="68"/>
    </row>
    <row r="900" spans="5:12" ht="15.75" customHeight="1" x14ac:dyDescent="0.2">
      <c r="E900" s="68"/>
      <c r="F900" s="68"/>
      <c r="G900" s="68"/>
      <c r="H900" s="68"/>
      <c r="I900" s="68"/>
      <c r="J900" s="68"/>
      <c r="K900" s="68"/>
      <c r="L900" s="68"/>
    </row>
    <row r="901" spans="5:12" ht="15.75" customHeight="1" x14ac:dyDescent="0.2">
      <c r="E901" s="68"/>
      <c r="F901" s="68"/>
      <c r="G901" s="68"/>
      <c r="H901" s="68"/>
      <c r="I901" s="68"/>
      <c r="J901" s="68"/>
      <c r="K901" s="68"/>
      <c r="L901" s="68"/>
    </row>
    <row r="902" spans="5:12" ht="15.75" customHeight="1" x14ac:dyDescent="0.2">
      <c r="E902" s="68"/>
      <c r="F902" s="68"/>
      <c r="G902" s="68"/>
      <c r="H902" s="68"/>
      <c r="I902" s="68"/>
      <c r="J902" s="68"/>
      <c r="K902" s="68"/>
      <c r="L902" s="68"/>
    </row>
    <row r="903" spans="5:12" ht="15.75" customHeight="1" x14ac:dyDescent="0.2">
      <c r="E903" s="68"/>
      <c r="F903" s="68"/>
      <c r="G903" s="68"/>
      <c r="H903" s="68"/>
      <c r="I903" s="68"/>
      <c r="J903" s="68"/>
      <c r="K903" s="68"/>
      <c r="L903" s="68"/>
    </row>
    <row r="904" spans="5:12" ht="15.75" customHeight="1" x14ac:dyDescent="0.2">
      <c r="E904" s="68"/>
      <c r="F904" s="68"/>
      <c r="G904" s="68"/>
      <c r="H904" s="68"/>
      <c r="I904" s="68"/>
      <c r="J904" s="68"/>
      <c r="K904" s="68"/>
      <c r="L904" s="68"/>
    </row>
    <row r="905" spans="5:12" ht="15.75" customHeight="1" x14ac:dyDescent="0.2">
      <c r="E905" s="68"/>
      <c r="F905" s="68"/>
      <c r="G905" s="68"/>
      <c r="H905" s="68"/>
      <c r="I905" s="68"/>
      <c r="J905" s="68"/>
      <c r="K905" s="68"/>
      <c r="L905" s="68"/>
    </row>
    <row r="906" spans="5:12" ht="15.75" customHeight="1" x14ac:dyDescent="0.2">
      <c r="E906" s="68"/>
      <c r="F906" s="68"/>
      <c r="G906" s="68"/>
      <c r="H906" s="68"/>
      <c r="I906" s="68"/>
      <c r="J906" s="68"/>
      <c r="K906" s="68"/>
      <c r="L906" s="68"/>
    </row>
    <row r="907" spans="5:12" ht="15.75" customHeight="1" x14ac:dyDescent="0.2">
      <c r="E907" s="68"/>
      <c r="F907" s="68"/>
      <c r="G907" s="68"/>
      <c r="H907" s="68"/>
      <c r="I907" s="68"/>
      <c r="J907" s="68"/>
      <c r="K907" s="68"/>
      <c r="L907" s="68"/>
    </row>
    <row r="908" spans="5:12" ht="15.75" customHeight="1" x14ac:dyDescent="0.2">
      <c r="E908" s="68"/>
      <c r="F908" s="68"/>
      <c r="G908" s="68"/>
      <c r="H908" s="68"/>
      <c r="I908" s="68"/>
      <c r="J908" s="68"/>
      <c r="K908" s="68"/>
      <c r="L908" s="68"/>
    </row>
    <row r="909" spans="5:12" ht="15.75" customHeight="1" x14ac:dyDescent="0.2">
      <c r="E909" s="68"/>
      <c r="F909" s="68"/>
      <c r="G909" s="68"/>
      <c r="H909" s="68"/>
      <c r="I909" s="68"/>
      <c r="J909" s="68"/>
      <c r="K909" s="68"/>
      <c r="L909" s="68"/>
    </row>
    <row r="910" spans="5:12" ht="15.75" customHeight="1" x14ac:dyDescent="0.2">
      <c r="E910" s="68"/>
      <c r="F910" s="68"/>
      <c r="G910" s="68"/>
      <c r="H910" s="68"/>
      <c r="I910" s="68"/>
      <c r="J910" s="68"/>
      <c r="K910" s="68"/>
      <c r="L910" s="68"/>
    </row>
    <row r="911" spans="5:12" ht="15.75" customHeight="1" x14ac:dyDescent="0.2">
      <c r="E911" s="68"/>
      <c r="F911" s="68"/>
      <c r="G911" s="68"/>
      <c r="H911" s="68"/>
      <c r="I911" s="68"/>
      <c r="J911" s="68"/>
      <c r="K911" s="68"/>
      <c r="L911" s="68"/>
    </row>
    <row r="912" spans="5:12" ht="15.75" customHeight="1" x14ac:dyDescent="0.2">
      <c r="E912" s="68"/>
      <c r="F912" s="68"/>
      <c r="G912" s="68"/>
      <c r="H912" s="68"/>
      <c r="I912" s="68"/>
      <c r="J912" s="68"/>
      <c r="K912" s="68"/>
      <c r="L912" s="68"/>
    </row>
    <row r="913" spans="5:12" ht="15.75" customHeight="1" x14ac:dyDescent="0.2">
      <c r="E913" s="68"/>
      <c r="F913" s="68"/>
      <c r="G913" s="68"/>
      <c r="H913" s="68"/>
      <c r="I913" s="68"/>
      <c r="J913" s="68"/>
      <c r="K913" s="68"/>
      <c r="L913" s="68"/>
    </row>
    <row r="914" spans="5:12" ht="15.75" customHeight="1" x14ac:dyDescent="0.2">
      <c r="E914" s="68"/>
      <c r="F914" s="68"/>
      <c r="G914" s="68"/>
      <c r="H914" s="68"/>
      <c r="I914" s="68"/>
      <c r="J914" s="68"/>
      <c r="K914" s="68"/>
      <c r="L914" s="68"/>
    </row>
    <row r="915" spans="5:12" ht="15.75" customHeight="1" x14ac:dyDescent="0.2">
      <c r="E915" s="68"/>
      <c r="F915" s="68"/>
      <c r="G915" s="68"/>
      <c r="H915" s="68"/>
      <c r="I915" s="68"/>
      <c r="J915" s="68"/>
      <c r="K915" s="68"/>
      <c r="L915" s="68"/>
    </row>
    <row r="916" spans="5:12" ht="15.75" customHeight="1" x14ac:dyDescent="0.2">
      <c r="E916" s="68"/>
      <c r="F916" s="68"/>
      <c r="G916" s="68"/>
      <c r="H916" s="68"/>
      <c r="I916" s="68"/>
      <c r="J916" s="68"/>
      <c r="K916" s="68"/>
      <c r="L916" s="68"/>
    </row>
    <row r="917" spans="5:12" ht="15.75" customHeight="1" x14ac:dyDescent="0.2">
      <c r="E917" s="68"/>
      <c r="F917" s="68"/>
      <c r="G917" s="68"/>
      <c r="H917" s="68"/>
      <c r="I917" s="68"/>
      <c r="J917" s="68"/>
      <c r="K917" s="68"/>
      <c r="L917" s="68"/>
    </row>
    <row r="918" spans="5:12" ht="15.75" customHeight="1" x14ac:dyDescent="0.2">
      <c r="E918" s="68"/>
      <c r="F918" s="68"/>
      <c r="G918" s="68"/>
      <c r="H918" s="68"/>
      <c r="I918" s="68"/>
      <c r="J918" s="68"/>
      <c r="K918" s="68"/>
      <c r="L918" s="68"/>
    </row>
    <row r="919" spans="5:12" ht="15.75" customHeight="1" x14ac:dyDescent="0.2">
      <c r="E919" s="68"/>
      <c r="F919" s="68"/>
      <c r="G919" s="68"/>
      <c r="H919" s="68"/>
      <c r="I919" s="68"/>
      <c r="J919" s="68"/>
      <c r="K919" s="68"/>
      <c r="L919" s="68"/>
    </row>
    <row r="920" spans="5:12" ht="15.75" customHeight="1" x14ac:dyDescent="0.2">
      <c r="E920" s="68"/>
      <c r="F920" s="68"/>
      <c r="G920" s="68"/>
      <c r="H920" s="68"/>
      <c r="I920" s="68"/>
      <c r="J920" s="68"/>
      <c r="K920" s="68"/>
      <c r="L920" s="68"/>
    </row>
    <row r="921" spans="5:12" ht="15.75" customHeight="1" x14ac:dyDescent="0.2">
      <c r="E921" s="68"/>
      <c r="F921" s="68"/>
      <c r="G921" s="68"/>
      <c r="H921" s="68"/>
      <c r="I921" s="68"/>
      <c r="J921" s="68"/>
      <c r="K921" s="68"/>
      <c r="L921" s="68"/>
    </row>
    <row r="922" spans="5:12" ht="15.75" customHeight="1" x14ac:dyDescent="0.2">
      <c r="E922" s="68"/>
      <c r="F922" s="68"/>
      <c r="G922" s="68"/>
      <c r="H922" s="68"/>
      <c r="I922" s="68"/>
      <c r="J922" s="68"/>
      <c r="K922" s="68"/>
      <c r="L922" s="68"/>
    </row>
    <row r="923" spans="5:12" ht="15.75" customHeight="1" x14ac:dyDescent="0.2">
      <c r="E923" s="68"/>
      <c r="F923" s="68"/>
      <c r="G923" s="68"/>
      <c r="H923" s="68"/>
      <c r="I923" s="68"/>
      <c r="J923" s="68"/>
      <c r="K923" s="68"/>
      <c r="L923" s="68"/>
    </row>
    <row r="924" spans="5:12" ht="15.75" customHeight="1" x14ac:dyDescent="0.2">
      <c r="E924" s="68"/>
      <c r="F924" s="68"/>
      <c r="G924" s="68"/>
      <c r="H924" s="68"/>
      <c r="I924" s="68"/>
      <c r="J924" s="68"/>
      <c r="K924" s="68"/>
      <c r="L924" s="68"/>
    </row>
    <row r="925" spans="5:12" ht="15.75" customHeight="1" x14ac:dyDescent="0.2">
      <c r="E925" s="68"/>
      <c r="F925" s="68"/>
      <c r="G925" s="68"/>
      <c r="H925" s="68"/>
      <c r="I925" s="68"/>
      <c r="J925" s="68"/>
      <c r="K925" s="68"/>
      <c r="L925" s="68"/>
    </row>
    <row r="926" spans="5:12" ht="15.75" customHeight="1" x14ac:dyDescent="0.2">
      <c r="E926" s="68"/>
      <c r="F926" s="68"/>
      <c r="G926" s="68"/>
      <c r="H926" s="68"/>
      <c r="I926" s="68"/>
      <c r="J926" s="68"/>
      <c r="K926" s="68"/>
      <c r="L926" s="68"/>
    </row>
    <row r="927" spans="5:12" ht="15.75" customHeight="1" x14ac:dyDescent="0.2">
      <c r="E927" s="68"/>
      <c r="F927" s="68"/>
      <c r="G927" s="68"/>
      <c r="H927" s="68"/>
      <c r="I927" s="68"/>
      <c r="J927" s="68"/>
      <c r="K927" s="68"/>
      <c r="L927" s="68"/>
    </row>
    <row r="928" spans="5:12" ht="15.75" customHeight="1" x14ac:dyDescent="0.2">
      <c r="E928" s="68"/>
      <c r="F928" s="68"/>
      <c r="G928" s="68"/>
      <c r="H928" s="68"/>
      <c r="I928" s="68"/>
      <c r="J928" s="68"/>
      <c r="K928" s="68"/>
      <c r="L928" s="68"/>
    </row>
    <row r="929" spans="5:12" ht="15.75" customHeight="1" x14ac:dyDescent="0.2">
      <c r="E929" s="68"/>
      <c r="F929" s="68"/>
      <c r="G929" s="68"/>
      <c r="H929" s="68"/>
      <c r="I929" s="68"/>
      <c r="J929" s="68"/>
      <c r="K929" s="68"/>
      <c r="L929" s="68"/>
    </row>
    <row r="930" spans="5:12" ht="15.75" customHeight="1" x14ac:dyDescent="0.2">
      <c r="E930" s="68"/>
      <c r="F930" s="68"/>
      <c r="G930" s="68"/>
      <c r="H930" s="68"/>
      <c r="I930" s="68"/>
      <c r="J930" s="68"/>
      <c r="K930" s="68"/>
      <c r="L930" s="68"/>
    </row>
    <row r="931" spans="5:12" ht="15.75" customHeight="1" x14ac:dyDescent="0.2">
      <c r="E931" s="68"/>
      <c r="F931" s="68"/>
      <c r="G931" s="68"/>
      <c r="H931" s="68"/>
      <c r="I931" s="68"/>
      <c r="J931" s="68"/>
      <c r="K931" s="68"/>
      <c r="L931" s="68"/>
    </row>
    <row r="932" spans="5:12" ht="15.75" customHeight="1" x14ac:dyDescent="0.2">
      <c r="E932" s="68"/>
      <c r="F932" s="68"/>
      <c r="G932" s="68"/>
      <c r="H932" s="68"/>
      <c r="I932" s="68"/>
      <c r="J932" s="68"/>
      <c r="K932" s="68"/>
      <c r="L932" s="68"/>
    </row>
    <row r="933" spans="5:12" ht="15.75" customHeight="1" x14ac:dyDescent="0.2">
      <c r="E933" s="68"/>
      <c r="F933" s="68"/>
      <c r="G933" s="68"/>
      <c r="H933" s="68"/>
      <c r="I933" s="68"/>
      <c r="J933" s="68"/>
      <c r="K933" s="68"/>
      <c r="L933" s="68"/>
    </row>
    <row r="934" spans="5:12" ht="15.75" customHeight="1" x14ac:dyDescent="0.2">
      <c r="E934" s="68"/>
      <c r="F934" s="68"/>
      <c r="G934" s="68"/>
      <c r="H934" s="68"/>
      <c r="I934" s="68"/>
      <c r="J934" s="68"/>
      <c r="K934" s="68"/>
      <c r="L934" s="68"/>
    </row>
    <row r="935" spans="5:12" ht="15.75" customHeight="1" x14ac:dyDescent="0.2">
      <c r="E935" s="68"/>
      <c r="F935" s="68"/>
      <c r="G935" s="68"/>
      <c r="H935" s="68"/>
      <c r="I935" s="68"/>
      <c r="J935" s="68"/>
      <c r="K935" s="68"/>
      <c r="L935" s="68"/>
    </row>
    <row r="936" spans="5:12" ht="15.75" customHeight="1" x14ac:dyDescent="0.2">
      <c r="E936" s="68"/>
      <c r="F936" s="68"/>
      <c r="G936" s="68"/>
      <c r="H936" s="68"/>
      <c r="I936" s="68"/>
      <c r="J936" s="68"/>
      <c r="K936" s="68"/>
      <c r="L936" s="68"/>
    </row>
    <row r="937" spans="5:12" ht="15.75" customHeight="1" x14ac:dyDescent="0.2">
      <c r="E937" s="68"/>
      <c r="F937" s="68"/>
      <c r="G937" s="68"/>
      <c r="H937" s="68"/>
      <c r="I937" s="68"/>
      <c r="J937" s="68"/>
      <c r="K937" s="68"/>
      <c r="L937" s="68"/>
    </row>
    <row r="938" spans="5:12" ht="15.75" customHeight="1" x14ac:dyDescent="0.2">
      <c r="E938" s="68"/>
      <c r="F938" s="68"/>
      <c r="G938" s="68"/>
      <c r="H938" s="68"/>
      <c r="I938" s="68"/>
      <c r="J938" s="68"/>
      <c r="K938" s="68"/>
      <c r="L938" s="68"/>
    </row>
    <row r="939" spans="5:12" ht="15.75" customHeight="1" x14ac:dyDescent="0.2">
      <c r="E939" s="68"/>
      <c r="F939" s="68"/>
      <c r="G939" s="68"/>
      <c r="H939" s="68"/>
      <c r="I939" s="68"/>
      <c r="J939" s="68"/>
      <c r="K939" s="68"/>
      <c r="L939" s="68"/>
    </row>
    <row r="940" spans="5:12" ht="15.75" customHeight="1" x14ac:dyDescent="0.2">
      <c r="E940" s="68"/>
      <c r="F940" s="68"/>
      <c r="G940" s="68"/>
      <c r="H940" s="68"/>
      <c r="I940" s="68"/>
      <c r="J940" s="68"/>
      <c r="K940" s="68"/>
      <c r="L940" s="68"/>
    </row>
    <row r="941" spans="5:12" ht="15.75" customHeight="1" x14ac:dyDescent="0.2">
      <c r="E941" s="68"/>
      <c r="F941" s="68"/>
      <c r="G941" s="68"/>
      <c r="H941" s="68"/>
      <c r="I941" s="68"/>
      <c r="J941" s="68"/>
      <c r="K941" s="68"/>
      <c r="L941" s="68"/>
    </row>
    <row r="942" spans="5:12" ht="15.75" customHeight="1" x14ac:dyDescent="0.2">
      <c r="E942" s="68"/>
      <c r="F942" s="68"/>
      <c r="G942" s="68"/>
      <c r="H942" s="68"/>
      <c r="I942" s="68"/>
      <c r="J942" s="68"/>
      <c r="K942" s="68"/>
      <c r="L942" s="68"/>
    </row>
    <row r="943" spans="5:12" ht="15.75" customHeight="1" x14ac:dyDescent="0.2">
      <c r="E943" s="68"/>
      <c r="F943" s="68"/>
      <c r="G943" s="68"/>
      <c r="H943" s="68"/>
      <c r="I943" s="68"/>
      <c r="J943" s="68"/>
      <c r="K943" s="68"/>
      <c r="L943" s="68"/>
    </row>
    <row r="944" spans="5:12" ht="15.75" customHeight="1" x14ac:dyDescent="0.2">
      <c r="E944" s="68"/>
      <c r="F944" s="68"/>
      <c r="G944" s="68"/>
      <c r="H944" s="68"/>
      <c r="I944" s="68"/>
      <c r="J944" s="68"/>
      <c r="K944" s="68"/>
      <c r="L944" s="68"/>
    </row>
    <row r="945" spans="5:12" ht="15.75" customHeight="1" x14ac:dyDescent="0.2">
      <c r="E945" s="68"/>
      <c r="F945" s="68"/>
      <c r="G945" s="68"/>
      <c r="H945" s="68"/>
      <c r="I945" s="68"/>
      <c r="J945" s="68"/>
      <c r="K945" s="68"/>
      <c r="L945" s="68"/>
    </row>
    <row r="946" spans="5:12" ht="15.75" customHeight="1" x14ac:dyDescent="0.2">
      <c r="E946" s="68"/>
      <c r="F946" s="68"/>
      <c r="G946" s="68"/>
      <c r="H946" s="68"/>
      <c r="I946" s="68"/>
      <c r="J946" s="68"/>
      <c r="K946" s="68"/>
      <c r="L946" s="68"/>
    </row>
    <row r="947" spans="5:12" ht="15.75" customHeight="1" x14ac:dyDescent="0.2">
      <c r="E947" s="68"/>
      <c r="F947" s="68"/>
      <c r="G947" s="68"/>
      <c r="H947" s="68"/>
      <c r="I947" s="68"/>
      <c r="J947" s="68"/>
      <c r="K947" s="68"/>
      <c r="L947" s="68"/>
    </row>
    <row r="948" spans="5:12" ht="15.75" customHeight="1" x14ac:dyDescent="0.2">
      <c r="E948" s="68"/>
      <c r="F948" s="68"/>
      <c r="G948" s="68"/>
      <c r="H948" s="68"/>
      <c r="I948" s="68"/>
      <c r="J948" s="68"/>
      <c r="K948" s="68"/>
      <c r="L948" s="68"/>
    </row>
    <row r="949" spans="5:12" ht="15.75" customHeight="1" x14ac:dyDescent="0.2">
      <c r="E949" s="68"/>
      <c r="F949" s="68"/>
      <c r="G949" s="68"/>
      <c r="H949" s="68"/>
      <c r="I949" s="68"/>
      <c r="J949" s="68"/>
      <c r="K949" s="68"/>
      <c r="L949" s="68"/>
    </row>
    <row r="950" spans="5:12" ht="15.75" customHeight="1" x14ac:dyDescent="0.2">
      <c r="E950" s="68"/>
      <c r="F950" s="68"/>
      <c r="G950" s="68"/>
      <c r="H950" s="68"/>
      <c r="I950" s="68"/>
      <c r="J950" s="68"/>
      <c r="K950" s="68"/>
      <c r="L950" s="68"/>
    </row>
    <row r="951" spans="5:12" ht="15.75" customHeight="1" x14ac:dyDescent="0.2">
      <c r="E951" s="68"/>
      <c r="F951" s="68"/>
      <c r="G951" s="68"/>
      <c r="H951" s="68"/>
      <c r="I951" s="68"/>
      <c r="J951" s="68"/>
      <c r="K951" s="68"/>
      <c r="L951" s="68"/>
    </row>
    <row r="952" spans="5:12" ht="15.75" customHeight="1" x14ac:dyDescent="0.2">
      <c r="E952" s="68"/>
      <c r="F952" s="68"/>
      <c r="G952" s="68"/>
      <c r="H952" s="68"/>
      <c r="I952" s="68"/>
      <c r="J952" s="68"/>
      <c r="K952" s="68"/>
      <c r="L952" s="68"/>
    </row>
    <row r="953" spans="5:12" ht="15.75" customHeight="1" x14ac:dyDescent="0.2">
      <c r="E953" s="68"/>
      <c r="F953" s="68"/>
      <c r="G953" s="68"/>
      <c r="H953" s="68"/>
      <c r="I953" s="68"/>
      <c r="J953" s="68"/>
      <c r="K953" s="68"/>
      <c r="L953" s="68"/>
    </row>
    <row r="954" spans="5:12" ht="15.75" customHeight="1" x14ac:dyDescent="0.2">
      <c r="E954" s="68"/>
      <c r="F954" s="68"/>
      <c r="G954" s="68"/>
      <c r="H954" s="68"/>
      <c r="I954" s="68"/>
      <c r="J954" s="68"/>
      <c r="K954" s="68"/>
      <c r="L954" s="68"/>
    </row>
    <row r="955" spans="5:12" ht="15.75" customHeight="1" x14ac:dyDescent="0.2">
      <c r="E955" s="68"/>
      <c r="F955" s="68"/>
      <c r="G955" s="68"/>
      <c r="H955" s="68"/>
      <c r="I955" s="68"/>
      <c r="J955" s="68"/>
      <c r="K955" s="68"/>
      <c r="L955" s="68"/>
    </row>
    <row r="956" spans="5:12" ht="15.75" customHeight="1" x14ac:dyDescent="0.2">
      <c r="E956" s="68"/>
      <c r="F956" s="68"/>
      <c r="G956" s="68"/>
      <c r="H956" s="68"/>
      <c r="I956" s="68"/>
      <c r="J956" s="68"/>
      <c r="K956" s="68"/>
      <c r="L956" s="68"/>
    </row>
    <row r="957" spans="5:12" ht="15.75" customHeight="1" x14ac:dyDescent="0.2">
      <c r="E957" s="68"/>
      <c r="F957" s="68"/>
      <c r="G957" s="68"/>
      <c r="H957" s="68"/>
      <c r="I957" s="68"/>
      <c r="J957" s="68"/>
      <c r="K957" s="68"/>
      <c r="L957" s="68"/>
    </row>
    <row r="958" spans="5:12" ht="15.75" customHeight="1" x14ac:dyDescent="0.2">
      <c r="E958" s="68"/>
      <c r="F958" s="68"/>
      <c r="G958" s="68"/>
      <c r="H958" s="68"/>
      <c r="I958" s="68"/>
      <c r="J958" s="68"/>
      <c r="K958" s="68"/>
      <c r="L958" s="68"/>
    </row>
    <row r="959" spans="5:12" ht="15.75" customHeight="1" x14ac:dyDescent="0.2">
      <c r="E959" s="68"/>
      <c r="F959" s="68"/>
      <c r="G959" s="68"/>
      <c r="H959" s="68"/>
      <c r="I959" s="68"/>
      <c r="J959" s="68"/>
      <c r="K959" s="68"/>
      <c r="L959" s="68"/>
    </row>
    <row r="960" spans="5:12" ht="15.75" customHeight="1" x14ac:dyDescent="0.2">
      <c r="E960" s="68"/>
      <c r="F960" s="68"/>
      <c r="G960" s="68"/>
      <c r="H960" s="68"/>
      <c r="I960" s="68"/>
      <c r="J960" s="68"/>
      <c r="K960" s="68"/>
      <c r="L960" s="68"/>
    </row>
    <row r="961" spans="5:12" ht="15.75" customHeight="1" x14ac:dyDescent="0.2">
      <c r="E961" s="68"/>
      <c r="F961" s="68"/>
      <c r="G961" s="68"/>
      <c r="H961" s="68"/>
      <c r="I961" s="68"/>
      <c r="J961" s="68"/>
      <c r="K961" s="68"/>
      <c r="L961" s="68"/>
    </row>
    <row r="962" spans="5:12" ht="15.75" customHeight="1" x14ac:dyDescent="0.2">
      <c r="E962" s="68"/>
      <c r="F962" s="68"/>
      <c r="G962" s="68"/>
      <c r="H962" s="68"/>
      <c r="I962" s="68"/>
      <c r="J962" s="68"/>
      <c r="K962" s="68"/>
      <c r="L962" s="68"/>
    </row>
    <row r="963" spans="5:12" ht="15.75" customHeight="1" x14ac:dyDescent="0.2">
      <c r="E963" s="68"/>
      <c r="F963" s="68"/>
      <c r="G963" s="68"/>
      <c r="H963" s="68"/>
      <c r="I963" s="68"/>
      <c r="J963" s="68"/>
      <c r="K963" s="68"/>
      <c r="L963" s="68"/>
    </row>
    <row r="964" spans="5:12" ht="15.75" customHeight="1" x14ac:dyDescent="0.2">
      <c r="E964" s="68"/>
      <c r="F964" s="68"/>
      <c r="G964" s="68"/>
      <c r="H964" s="68"/>
      <c r="I964" s="68"/>
      <c r="J964" s="68"/>
      <c r="K964" s="68"/>
      <c r="L964" s="68"/>
    </row>
    <row r="965" spans="5:12" ht="15.75" customHeight="1" x14ac:dyDescent="0.2">
      <c r="E965" s="68"/>
      <c r="F965" s="68"/>
      <c r="G965" s="68"/>
      <c r="H965" s="68"/>
      <c r="I965" s="68"/>
      <c r="J965" s="68"/>
      <c r="K965" s="68"/>
      <c r="L965" s="68"/>
    </row>
    <row r="966" spans="5:12" ht="15.75" customHeight="1" x14ac:dyDescent="0.2">
      <c r="E966" s="68"/>
      <c r="F966" s="68"/>
      <c r="G966" s="68"/>
      <c r="H966" s="68"/>
      <c r="I966" s="68"/>
      <c r="J966" s="68"/>
      <c r="K966" s="68"/>
      <c r="L966" s="68"/>
    </row>
    <row r="967" spans="5:12" ht="15.75" customHeight="1" x14ac:dyDescent="0.2">
      <c r="E967" s="68"/>
      <c r="F967" s="68"/>
      <c r="G967" s="68"/>
      <c r="H967" s="68"/>
      <c r="I967" s="68"/>
      <c r="J967" s="68"/>
      <c r="K967" s="68"/>
      <c r="L967" s="68"/>
    </row>
    <row r="968" spans="5:12" ht="15.75" customHeight="1" x14ac:dyDescent="0.2">
      <c r="E968" s="68"/>
      <c r="F968" s="68"/>
      <c r="G968" s="68"/>
      <c r="H968" s="68"/>
      <c r="I968" s="68"/>
      <c r="J968" s="68"/>
      <c r="K968" s="68"/>
      <c r="L968" s="68"/>
    </row>
    <row r="969" spans="5:12" ht="15.75" customHeight="1" x14ac:dyDescent="0.2">
      <c r="E969" s="68"/>
      <c r="F969" s="68"/>
      <c r="G969" s="68"/>
      <c r="H969" s="68"/>
      <c r="I969" s="68"/>
      <c r="J969" s="68"/>
      <c r="K969" s="68"/>
      <c r="L969" s="68"/>
    </row>
    <row r="970" spans="5:12" ht="15.75" customHeight="1" x14ac:dyDescent="0.2">
      <c r="E970" s="68"/>
      <c r="F970" s="68"/>
      <c r="G970" s="68"/>
      <c r="H970" s="68"/>
      <c r="I970" s="68"/>
      <c r="J970" s="68"/>
      <c r="K970" s="68"/>
      <c r="L970" s="68"/>
    </row>
    <row r="971" spans="5:12" ht="15.75" customHeight="1" x14ac:dyDescent="0.2">
      <c r="E971" s="68"/>
      <c r="F971" s="68"/>
      <c r="G971" s="68"/>
      <c r="H971" s="68"/>
      <c r="I971" s="68"/>
      <c r="J971" s="68"/>
      <c r="K971" s="68"/>
      <c r="L971" s="68"/>
    </row>
    <row r="972" spans="5:12" ht="15.75" customHeight="1" x14ac:dyDescent="0.2">
      <c r="E972" s="68"/>
      <c r="F972" s="68"/>
      <c r="G972" s="68"/>
      <c r="H972" s="68"/>
      <c r="I972" s="68"/>
      <c r="J972" s="68"/>
      <c r="K972" s="68"/>
      <c r="L972" s="68"/>
    </row>
    <row r="973" spans="5:12" ht="15.75" customHeight="1" x14ac:dyDescent="0.2">
      <c r="E973" s="68"/>
      <c r="F973" s="68"/>
      <c r="G973" s="68"/>
      <c r="H973" s="68"/>
      <c r="I973" s="68"/>
      <c r="J973" s="68"/>
      <c r="K973" s="68"/>
      <c r="L973" s="68"/>
    </row>
    <row r="974" spans="5:12" ht="15.75" customHeight="1" x14ac:dyDescent="0.2">
      <c r="E974" s="68"/>
      <c r="F974" s="68"/>
      <c r="G974" s="68"/>
      <c r="H974" s="68"/>
      <c r="I974" s="68"/>
      <c r="J974" s="68"/>
      <c r="K974" s="68"/>
      <c r="L974" s="68"/>
    </row>
    <row r="975" spans="5:12" ht="15.75" customHeight="1" x14ac:dyDescent="0.2">
      <c r="E975" s="68"/>
      <c r="F975" s="68"/>
      <c r="G975" s="68"/>
      <c r="H975" s="68"/>
      <c r="I975" s="68"/>
      <c r="J975" s="68"/>
      <c r="K975" s="68"/>
      <c r="L975" s="68"/>
    </row>
    <row r="976" spans="5:12" ht="15.75" customHeight="1" x14ac:dyDescent="0.2">
      <c r="E976" s="68"/>
      <c r="F976" s="68"/>
      <c r="G976" s="68"/>
      <c r="H976" s="68"/>
      <c r="I976" s="68"/>
      <c r="J976" s="68"/>
      <c r="K976" s="68"/>
      <c r="L976" s="68"/>
    </row>
    <row r="977" spans="5:12" ht="15.75" customHeight="1" x14ac:dyDescent="0.2">
      <c r="E977" s="68"/>
      <c r="F977" s="68"/>
      <c r="G977" s="68"/>
      <c r="H977" s="68"/>
      <c r="I977" s="68"/>
      <c r="J977" s="68"/>
      <c r="K977" s="68"/>
      <c r="L977" s="68"/>
    </row>
    <row r="978" spans="5:12" ht="15.75" customHeight="1" x14ac:dyDescent="0.2">
      <c r="E978" s="68"/>
      <c r="F978" s="68"/>
      <c r="G978" s="68"/>
      <c r="H978" s="68"/>
      <c r="I978" s="68"/>
      <c r="J978" s="68"/>
      <c r="K978" s="68"/>
      <c r="L978" s="68"/>
    </row>
    <row r="979" spans="5:12" ht="15.75" customHeight="1" x14ac:dyDescent="0.2">
      <c r="E979" s="68"/>
      <c r="F979" s="68"/>
      <c r="G979" s="68"/>
      <c r="H979" s="68"/>
      <c r="I979" s="68"/>
      <c r="J979" s="68"/>
      <c r="K979" s="68"/>
      <c r="L979" s="68"/>
    </row>
    <row r="980" spans="5:12" ht="15.75" customHeight="1" x14ac:dyDescent="0.2">
      <c r="E980" s="68"/>
      <c r="F980" s="68"/>
      <c r="G980" s="68"/>
      <c r="H980" s="68"/>
      <c r="I980" s="68"/>
      <c r="J980" s="68"/>
      <c r="K980" s="68"/>
      <c r="L980" s="68"/>
    </row>
    <row r="981" spans="5:12" ht="15.75" customHeight="1" x14ac:dyDescent="0.2">
      <c r="E981" s="68"/>
      <c r="F981" s="68"/>
      <c r="G981" s="68"/>
      <c r="H981" s="68"/>
      <c r="I981" s="68"/>
      <c r="J981" s="68"/>
      <c r="K981" s="68"/>
      <c r="L981" s="68"/>
    </row>
    <row r="982" spans="5:12" ht="15.75" customHeight="1" x14ac:dyDescent="0.2">
      <c r="E982" s="68"/>
      <c r="F982" s="68"/>
      <c r="G982" s="68"/>
      <c r="H982" s="68"/>
      <c r="I982" s="68"/>
      <c r="J982" s="68"/>
      <c r="K982" s="68"/>
      <c r="L982" s="68"/>
    </row>
    <row r="983" spans="5:12" ht="15.75" customHeight="1" x14ac:dyDescent="0.2">
      <c r="E983" s="68"/>
      <c r="F983" s="68"/>
      <c r="G983" s="68"/>
      <c r="H983" s="68"/>
      <c r="I983" s="68"/>
      <c r="J983" s="68"/>
      <c r="K983" s="68"/>
      <c r="L983" s="68"/>
    </row>
    <row r="984" spans="5:12" ht="15.75" customHeight="1" x14ac:dyDescent="0.2">
      <c r="E984" s="68"/>
      <c r="F984" s="68"/>
      <c r="G984" s="68"/>
      <c r="H984" s="68"/>
      <c r="I984" s="68"/>
      <c r="J984" s="68"/>
      <c r="K984" s="68"/>
      <c r="L984" s="68"/>
    </row>
    <row r="985" spans="5:12" ht="15.75" customHeight="1" x14ac:dyDescent="0.2">
      <c r="E985" s="68"/>
      <c r="F985" s="68"/>
      <c r="G985" s="68"/>
      <c r="H985" s="68"/>
      <c r="I985" s="68"/>
      <c r="J985" s="68"/>
      <c r="K985" s="68"/>
      <c r="L985" s="68"/>
    </row>
  </sheetData>
  <autoFilter ref="A5:L6" xr:uid="{00000000-0009-0000-0000-000003000000}">
    <sortState xmlns:xlrd2="http://schemas.microsoft.com/office/spreadsheetml/2017/richdata2" ref="A8:L41">
      <sortCondition ref="B5:B6"/>
    </sortState>
  </autoFilter>
  <mergeCells count="11">
    <mergeCell ref="A1:J1"/>
    <mergeCell ref="A2:J2"/>
    <mergeCell ref="A3:J3"/>
    <mergeCell ref="A4:J4"/>
    <mergeCell ref="M5:M6"/>
    <mergeCell ref="D5:D6"/>
    <mergeCell ref="K5:K6"/>
    <mergeCell ref="L5:L6"/>
    <mergeCell ref="A5:A6"/>
    <mergeCell ref="B5:B6"/>
    <mergeCell ref="C5:C6"/>
  </mergeCells>
  <conditionalFormatting sqref="D7:D41">
    <cfRule type="cellIs" dxfId="3" priority="1" operator="lessThan">
      <formula>30</formula>
    </cfRule>
  </conditionalFormatting>
  <pageMargins left="0.23622047244094491" right="0.23622047244094491" top="0.74803149606299213" bottom="0.74803149606299213" header="0" footer="0"/>
  <pageSetup paperSize="9" scale="70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972"/>
  <sheetViews>
    <sheetView zoomScale="70" zoomScaleNormal="70" workbookViewId="0">
      <selection activeCell="H6" sqref="E6:H6"/>
    </sheetView>
  </sheetViews>
  <sheetFormatPr defaultColWidth="12.5703125" defaultRowHeight="15" customHeight="1" x14ac:dyDescent="0.2"/>
  <cols>
    <col min="1" max="1" width="7.5703125" customWidth="1"/>
    <col min="2" max="2" width="21.85546875" customWidth="1"/>
    <col min="3" max="3" width="35.5703125" customWidth="1"/>
    <col min="4" max="4" width="10.5703125" hidden="1" customWidth="1"/>
    <col min="5" max="7" width="12.85546875" customWidth="1"/>
    <col min="8" max="8" width="14" customWidth="1"/>
    <col min="9" max="9" width="12.85546875" customWidth="1"/>
    <col min="10" max="12" width="17" customWidth="1"/>
    <col min="13" max="13" width="26.7109375" customWidth="1"/>
    <col min="14" max="26" width="7.5703125" customWidth="1"/>
  </cols>
  <sheetData>
    <row r="1" spans="1:26" ht="24.75" customHeight="1" thickBot="1" x14ac:dyDescent="0.3">
      <c r="A1" s="197" t="s">
        <v>0</v>
      </c>
      <c r="B1" s="198"/>
      <c r="C1" s="198"/>
      <c r="D1" s="198"/>
      <c r="E1" s="198"/>
      <c r="F1" s="198"/>
      <c r="G1" s="198"/>
      <c r="H1" s="198"/>
      <c r="I1" s="198"/>
      <c r="J1" s="199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4.75" customHeight="1" thickBot="1" x14ac:dyDescent="0.3">
      <c r="A2" s="197" t="s">
        <v>1</v>
      </c>
      <c r="B2" s="198"/>
      <c r="C2" s="198"/>
      <c r="D2" s="198"/>
      <c r="E2" s="198"/>
      <c r="F2" s="198"/>
      <c r="G2" s="198"/>
      <c r="H2" s="198"/>
      <c r="I2" s="198"/>
      <c r="J2" s="199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24.75" customHeight="1" thickBot="1" x14ac:dyDescent="0.3">
      <c r="A3" s="197" t="s">
        <v>66</v>
      </c>
      <c r="B3" s="198"/>
      <c r="C3" s="198"/>
      <c r="D3" s="198"/>
      <c r="E3" s="198"/>
      <c r="F3" s="198"/>
      <c r="G3" s="198"/>
      <c r="H3" s="198"/>
      <c r="I3" s="198"/>
      <c r="J3" s="199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24.75" customHeight="1" x14ac:dyDescent="0.25">
      <c r="A4" s="200" t="s">
        <v>68</v>
      </c>
      <c r="B4" s="201"/>
      <c r="C4" s="201"/>
      <c r="D4" s="201"/>
      <c r="E4" s="201"/>
      <c r="F4" s="201"/>
      <c r="G4" s="201"/>
      <c r="H4" s="201"/>
      <c r="I4" s="201"/>
      <c r="J4" s="202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24" customHeight="1" x14ac:dyDescent="0.25">
      <c r="A5" s="205" t="s">
        <v>2</v>
      </c>
      <c r="B5" s="205" t="s">
        <v>3</v>
      </c>
      <c r="C5" s="205" t="s">
        <v>4</v>
      </c>
      <c r="D5" s="205" t="s">
        <v>5</v>
      </c>
      <c r="E5" s="3">
        <v>46118</v>
      </c>
      <c r="F5" s="3">
        <v>46118</v>
      </c>
      <c r="G5" s="3">
        <v>46119</v>
      </c>
      <c r="H5" s="3">
        <v>46119</v>
      </c>
      <c r="I5" s="3">
        <v>46120</v>
      </c>
      <c r="J5" s="3">
        <v>46120</v>
      </c>
      <c r="K5" s="206" t="s">
        <v>6</v>
      </c>
      <c r="L5" s="207" t="s">
        <v>7</v>
      </c>
      <c r="M5" s="203" t="s">
        <v>8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46.5" customHeight="1" x14ac:dyDescent="0.2">
      <c r="A6" s="204"/>
      <c r="B6" s="204"/>
      <c r="C6" s="204"/>
      <c r="D6" s="204"/>
      <c r="E6" s="2" t="s">
        <v>61</v>
      </c>
      <c r="F6" s="35" t="s">
        <v>62</v>
      </c>
      <c r="G6" s="35" t="s">
        <v>63</v>
      </c>
      <c r="H6" s="35" t="s">
        <v>64</v>
      </c>
      <c r="I6" s="35" t="s">
        <v>65</v>
      </c>
      <c r="J6" s="35" t="s">
        <v>71</v>
      </c>
      <c r="K6" s="204"/>
      <c r="L6" s="204"/>
      <c r="M6" s="204"/>
    </row>
    <row r="7" spans="1:26" ht="33" customHeight="1" x14ac:dyDescent="0.3">
      <c r="A7" s="43">
        <v>1</v>
      </c>
      <c r="B7" s="51" t="s">
        <v>171</v>
      </c>
      <c r="C7" s="52" t="s">
        <v>172</v>
      </c>
      <c r="D7" s="53">
        <v>65.131578947368425</v>
      </c>
      <c r="E7" s="6">
        <v>16</v>
      </c>
      <c r="F7" s="118">
        <v>20</v>
      </c>
      <c r="G7" s="6">
        <v>9</v>
      </c>
      <c r="H7" s="6">
        <v>15</v>
      </c>
      <c r="I7" s="6"/>
      <c r="J7" s="16"/>
      <c r="K7" s="55">
        <f>SUM(E7:H7)</f>
        <v>60</v>
      </c>
      <c r="L7" s="50">
        <f>K7/80*100</f>
        <v>75</v>
      </c>
      <c r="M7" s="127" t="str">
        <f>IF(COUNTIF(E7:H7,"A")&gt;0,"A",IF(MIN(E7:H7)&gt;=7,"PASS","FAIL"))</f>
        <v>PASS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3" customHeight="1" x14ac:dyDescent="0.3">
      <c r="A8" s="43">
        <v>2</v>
      </c>
      <c r="B8" s="51" t="s">
        <v>173</v>
      </c>
      <c r="C8" s="52" t="s">
        <v>174</v>
      </c>
      <c r="D8" s="53">
        <v>64.935064935064929</v>
      </c>
      <c r="E8" s="6">
        <v>19</v>
      </c>
      <c r="F8" s="118">
        <v>20</v>
      </c>
      <c r="G8" s="6">
        <v>19</v>
      </c>
      <c r="H8" s="6">
        <v>16</v>
      </c>
      <c r="I8" s="6"/>
      <c r="J8" s="16"/>
      <c r="K8" s="55">
        <f t="shared" ref="K8:K29" si="0">SUM(E8:H8)</f>
        <v>74</v>
      </c>
      <c r="L8" s="50">
        <f t="shared" ref="L8:L29" si="1">K8/80*100</f>
        <v>92.5</v>
      </c>
      <c r="M8" s="127" t="str">
        <f t="shared" ref="M8:M29" si="2">IF(COUNTIF(E8:H8,"A")&gt;0,"A",IF(MIN(E8:H8)&gt;=7,"PASS","FAIL"))</f>
        <v>PASS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3" customHeight="1" x14ac:dyDescent="0.3">
      <c r="A9" s="43">
        <v>3</v>
      </c>
      <c r="B9" s="51" t="s">
        <v>183</v>
      </c>
      <c r="C9" s="52" t="s">
        <v>184</v>
      </c>
      <c r="D9" s="53">
        <v>62.595419847328252</v>
      </c>
      <c r="E9" s="6">
        <v>10</v>
      </c>
      <c r="F9" s="118">
        <v>9</v>
      </c>
      <c r="G9" s="6">
        <v>9</v>
      </c>
      <c r="H9" s="6">
        <v>12</v>
      </c>
      <c r="I9" s="6"/>
      <c r="J9" s="16"/>
      <c r="K9" s="55">
        <f t="shared" si="0"/>
        <v>40</v>
      </c>
      <c r="L9" s="50">
        <f t="shared" si="1"/>
        <v>50</v>
      </c>
      <c r="M9" s="127" t="str">
        <f t="shared" si="2"/>
        <v>PASS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3" customHeight="1" x14ac:dyDescent="0.3">
      <c r="A10" s="43">
        <v>4</v>
      </c>
      <c r="B10" s="51" t="s">
        <v>167</v>
      </c>
      <c r="C10" s="52" t="s">
        <v>168</v>
      </c>
      <c r="D10" s="53">
        <v>65.584415584415595</v>
      </c>
      <c r="E10" s="6">
        <v>14</v>
      </c>
      <c r="F10" s="118">
        <v>18</v>
      </c>
      <c r="G10" s="6">
        <v>12</v>
      </c>
      <c r="H10" s="6">
        <v>15</v>
      </c>
      <c r="I10" s="6"/>
      <c r="J10" s="16"/>
      <c r="K10" s="55">
        <f t="shared" si="0"/>
        <v>59</v>
      </c>
      <c r="L10" s="50">
        <f t="shared" si="1"/>
        <v>73.75</v>
      </c>
      <c r="M10" s="127" t="str">
        <f t="shared" si="2"/>
        <v>PASS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3" customHeight="1" x14ac:dyDescent="0.3">
      <c r="A11" s="43">
        <v>5</v>
      </c>
      <c r="B11" s="51" t="s">
        <v>195</v>
      </c>
      <c r="C11" s="52" t="s">
        <v>196</v>
      </c>
      <c r="D11" s="53">
        <v>60.389610389610397</v>
      </c>
      <c r="E11" s="6">
        <v>17</v>
      </c>
      <c r="F11" s="118">
        <v>20</v>
      </c>
      <c r="G11" s="6">
        <v>20</v>
      </c>
      <c r="H11" s="6">
        <v>18</v>
      </c>
      <c r="I11" s="6"/>
      <c r="J11" s="16"/>
      <c r="K11" s="55">
        <f t="shared" si="0"/>
        <v>75</v>
      </c>
      <c r="L11" s="50">
        <f t="shared" si="1"/>
        <v>93.75</v>
      </c>
      <c r="M11" s="127" t="str">
        <f t="shared" si="2"/>
        <v>PASS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3" customHeight="1" x14ac:dyDescent="0.3">
      <c r="A12" s="43">
        <v>6</v>
      </c>
      <c r="B12" s="51" t="s">
        <v>197</v>
      </c>
      <c r="C12" s="52" t="s">
        <v>198</v>
      </c>
      <c r="D12" s="53">
        <v>60.389610389610397</v>
      </c>
      <c r="E12" s="6">
        <v>16</v>
      </c>
      <c r="F12" s="118">
        <v>13</v>
      </c>
      <c r="G12" s="6">
        <v>13</v>
      </c>
      <c r="H12" s="6">
        <v>10</v>
      </c>
      <c r="I12" s="6"/>
      <c r="J12" s="16"/>
      <c r="K12" s="55">
        <f t="shared" si="0"/>
        <v>52</v>
      </c>
      <c r="L12" s="50">
        <f t="shared" si="1"/>
        <v>65</v>
      </c>
      <c r="M12" s="127" t="str">
        <f t="shared" si="2"/>
        <v>PASS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3" customHeight="1" x14ac:dyDescent="0.3">
      <c r="A13" s="43">
        <v>7</v>
      </c>
      <c r="B13" s="51" t="s">
        <v>199</v>
      </c>
      <c r="C13" s="52" t="s">
        <v>200</v>
      </c>
      <c r="D13" s="53">
        <v>60.389610389610397</v>
      </c>
      <c r="E13" s="6">
        <v>20</v>
      </c>
      <c r="F13" s="118">
        <v>20</v>
      </c>
      <c r="G13" s="6">
        <v>16</v>
      </c>
      <c r="H13" s="6">
        <v>19</v>
      </c>
      <c r="I13" s="6"/>
      <c r="J13" s="6"/>
      <c r="K13" s="55">
        <f t="shared" si="0"/>
        <v>75</v>
      </c>
      <c r="L13" s="50">
        <f t="shared" si="1"/>
        <v>93.75</v>
      </c>
      <c r="M13" s="127" t="str">
        <f t="shared" si="2"/>
        <v>PASS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3" customHeight="1" x14ac:dyDescent="0.3">
      <c r="A14" s="43">
        <v>8</v>
      </c>
      <c r="B14" s="51" t="s">
        <v>181</v>
      </c>
      <c r="C14" s="52" t="s">
        <v>182</v>
      </c>
      <c r="D14" s="53">
        <v>62.987012987012989</v>
      </c>
      <c r="E14" s="6">
        <v>12</v>
      </c>
      <c r="F14" s="118">
        <v>17</v>
      </c>
      <c r="G14" s="6">
        <v>9</v>
      </c>
      <c r="H14" s="6">
        <v>20</v>
      </c>
      <c r="I14" s="6"/>
      <c r="J14" s="16"/>
      <c r="K14" s="55">
        <f t="shared" si="0"/>
        <v>58</v>
      </c>
      <c r="L14" s="50">
        <f t="shared" si="1"/>
        <v>72.5</v>
      </c>
      <c r="M14" s="127" t="str">
        <f t="shared" si="2"/>
        <v>PASS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3" customHeight="1" x14ac:dyDescent="0.3">
      <c r="A15" s="43">
        <v>9</v>
      </c>
      <c r="B15" s="51" t="s">
        <v>169</v>
      </c>
      <c r="C15" s="52" t="s">
        <v>170</v>
      </c>
      <c r="D15" s="53">
        <v>65.584415584415595</v>
      </c>
      <c r="E15" s="6">
        <v>16</v>
      </c>
      <c r="F15" s="118">
        <v>20</v>
      </c>
      <c r="G15" s="6">
        <v>14</v>
      </c>
      <c r="H15" s="6">
        <v>18</v>
      </c>
      <c r="I15" s="6"/>
      <c r="J15" s="16"/>
      <c r="K15" s="55">
        <f t="shared" si="0"/>
        <v>68</v>
      </c>
      <c r="L15" s="50">
        <f t="shared" si="1"/>
        <v>85</v>
      </c>
      <c r="M15" s="127" t="str">
        <f t="shared" si="2"/>
        <v>PASS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3" customHeight="1" x14ac:dyDescent="0.3">
      <c r="A16" s="43">
        <v>10</v>
      </c>
      <c r="B16" s="51" t="s">
        <v>185</v>
      </c>
      <c r="C16" s="52" t="s">
        <v>186</v>
      </c>
      <c r="D16" s="53">
        <v>61.379310344827587</v>
      </c>
      <c r="E16" s="6">
        <v>13</v>
      </c>
      <c r="F16" s="118">
        <v>20</v>
      </c>
      <c r="G16" s="6">
        <v>12</v>
      </c>
      <c r="H16" s="6">
        <v>19</v>
      </c>
      <c r="I16" s="6"/>
      <c r="J16" s="16"/>
      <c r="K16" s="55">
        <f t="shared" si="0"/>
        <v>64</v>
      </c>
      <c r="L16" s="50">
        <f t="shared" si="1"/>
        <v>80</v>
      </c>
      <c r="M16" s="127" t="str">
        <f t="shared" si="2"/>
        <v>PASS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3" customHeight="1" x14ac:dyDescent="0.3">
      <c r="A17" s="43">
        <v>11</v>
      </c>
      <c r="B17" s="51" t="s">
        <v>175</v>
      </c>
      <c r="C17" s="52" t="s">
        <v>176</v>
      </c>
      <c r="D17" s="53">
        <v>63.815789473684212</v>
      </c>
      <c r="E17" s="6">
        <v>15</v>
      </c>
      <c r="F17" s="118">
        <v>20</v>
      </c>
      <c r="G17" s="6">
        <v>13</v>
      </c>
      <c r="H17" s="6">
        <v>19</v>
      </c>
      <c r="I17" s="6"/>
      <c r="J17" s="16"/>
      <c r="K17" s="55">
        <f t="shared" si="0"/>
        <v>67</v>
      </c>
      <c r="L17" s="50">
        <f t="shared" si="1"/>
        <v>83.75</v>
      </c>
      <c r="M17" s="127" t="str">
        <f t="shared" si="2"/>
        <v>PASS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3" customHeight="1" x14ac:dyDescent="0.3">
      <c r="A18" s="43">
        <v>12</v>
      </c>
      <c r="B18" s="51" t="s">
        <v>165</v>
      </c>
      <c r="C18" s="52" t="s">
        <v>166</v>
      </c>
      <c r="D18" s="53">
        <v>67.10526315789474</v>
      </c>
      <c r="E18" s="6">
        <v>17</v>
      </c>
      <c r="F18" s="118">
        <v>20</v>
      </c>
      <c r="G18" s="6">
        <v>16</v>
      </c>
      <c r="H18" s="6">
        <v>14</v>
      </c>
      <c r="I18" s="6"/>
      <c r="J18" s="16"/>
      <c r="K18" s="55">
        <f t="shared" si="0"/>
        <v>67</v>
      </c>
      <c r="L18" s="50">
        <f t="shared" si="1"/>
        <v>83.75</v>
      </c>
      <c r="M18" s="127" t="str">
        <f t="shared" si="2"/>
        <v>PASS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3" customHeight="1" x14ac:dyDescent="0.3">
      <c r="A19" s="43">
        <v>13</v>
      </c>
      <c r="B19" s="51" t="s">
        <v>187</v>
      </c>
      <c r="C19" s="52" t="s">
        <v>188</v>
      </c>
      <c r="D19" s="53">
        <v>61.379310344827587</v>
      </c>
      <c r="E19" s="6">
        <v>18</v>
      </c>
      <c r="F19" s="119">
        <v>18</v>
      </c>
      <c r="G19" s="6">
        <v>16</v>
      </c>
      <c r="H19" s="6">
        <v>15</v>
      </c>
      <c r="I19" s="6"/>
      <c r="J19" s="16"/>
      <c r="K19" s="55">
        <f t="shared" si="0"/>
        <v>67</v>
      </c>
      <c r="L19" s="50">
        <f t="shared" si="1"/>
        <v>83.75</v>
      </c>
      <c r="M19" s="127" t="str">
        <f t="shared" si="2"/>
        <v>PASS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3" customHeight="1" x14ac:dyDescent="0.3">
      <c r="A20" s="43">
        <v>14</v>
      </c>
      <c r="B20" s="51" t="s">
        <v>177</v>
      </c>
      <c r="C20" s="52" t="s">
        <v>178</v>
      </c>
      <c r="D20" s="53">
        <v>63.815789473684212</v>
      </c>
      <c r="E20" s="6">
        <v>16</v>
      </c>
      <c r="F20" s="118">
        <v>20</v>
      </c>
      <c r="G20" s="6">
        <v>12</v>
      </c>
      <c r="H20" s="6">
        <v>15</v>
      </c>
      <c r="I20" s="6"/>
      <c r="J20" s="16"/>
      <c r="K20" s="55">
        <f t="shared" si="0"/>
        <v>63</v>
      </c>
      <c r="L20" s="50">
        <f t="shared" si="1"/>
        <v>78.75</v>
      </c>
      <c r="M20" s="127" t="str">
        <f t="shared" si="2"/>
        <v>PASS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3" customHeight="1" x14ac:dyDescent="0.3">
      <c r="A21" s="43">
        <v>15</v>
      </c>
      <c r="B21" s="51" t="s">
        <v>207</v>
      </c>
      <c r="C21" s="52" t="s">
        <v>208</v>
      </c>
      <c r="D21" s="53">
        <v>59.868421052631582</v>
      </c>
      <c r="E21" s="6">
        <v>12</v>
      </c>
      <c r="F21" s="118">
        <v>17</v>
      </c>
      <c r="G21" s="6">
        <v>8</v>
      </c>
      <c r="H21" s="6">
        <v>15</v>
      </c>
      <c r="I21" s="6"/>
      <c r="J21" s="16"/>
      <c r="K21" s="55">
        <f t="shared" si="0"/>
        <v>52</v>
      </c>
      <c r="L21" s="50">
        <f t="shared" si="1"/>
        <v>65</v>
      </c>
      <c r="M21" s="127" t="str">
        <f t="shared" si="2"/>
        <v>PASS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3" customHeight="1" x14ac:dyDescent="0.3">
      <c r="A22" s="43">
        <v>16</v>
      </c>
      <c r="B22" s="51" t="s">
        <v>189</v>
      </c>
      <c r="C22" s="52" t="s">
        <v>190</v>
      </c>
      <c r="D22" s="53">
        <v>60.526315789473685</v>
      </c>
      <c r="E22" s="6">
        <v>16</v>
      </c>
      <c r="F22" s="118">
        <v>20</v>
      </c>
      <c r="G22" s="6">
        <v>19</v>
      </c>
      <c r="H22" s="6">
        <v>15</v>
      </c>
      <c r="I22" s="6"/>
      <c r="J22" s="16"/>
      <c r="K22" s="55">
        <f t="shared" si="0"/>
        <v>70</v>
      </c>
      <c r="L22" s="50">
        <f t="shared" si="1"/>
        <v>87.5</v>
      </c>
      <c r="M22" s="127" t="str">
        <f t="shared" si="2"/>
        <v>PASS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3" customHeight="1" x14ac:dyDescent="0.3">
      <c r="A23" s="43">
        <v>17</v>
      </c>
      <c r="B23" s="51" t="s">
        <v>179</v>
      </c>
      <c r="C23" s="52" t="s">
        <v>180</v>
      </c>
      <c r="D23" s="53">
        <v>63.157894736842103</v>
      </c>
      <c r="E23" s="6">
        <v>18</v>
      </c>
      <c r="F23" s="118">
        <v>20</v>
      </c>
      <c r="G23" s="6">
        <v>15</v>
      </c>
      <c r="H23" s="6">
        <v>17</v>
      </c>
      <c r="I23" s="6"/>
      <c r="J23" s="16"/>
      <c r="K23" s="55">
        <f t="shared" si="0"/>
        <v>70</v>
      </c>
      <c r="L23" s="50">
        <f t="shared" si="1"/>
        <v>87.5</v>
      </c>
      <c r="M23" s="127" t="str">
        <f t="shared" si="2"/>
        <v>PASS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3" customHeight="1" x14ac:dyDescent="0.3">
      <c r="A24" s="43">
        <v>18</v>
      </c>
      <c r="B24" s="51" t="s">
        <v>191</v>
      </c>
      <c r="C24" s="52" t="s">
        <v>192</v>
      </c>
      <c r="D24" s="53">
        <v>60.526315789473685</v>
      </c>
      <c r="E24" s="6">
        <v>18</v>
      </c>
      <c r="F24" s="118">
        <v>19</v>
      </c>
      <c r="G24" s="6">
        <v>19</v>
      </c>
      <c r="H24" s="6">
        <v>15</v>
      </c>
      <c r="I24" s="6"/>
      <c r="J24" s="16"/>
      <c r="K24" s="55">
        <f t="shared" si="0"/>
        <v>71</v>
      </c>
      <c r="L24" s="50">
        <f t="shared" si="1"/>
        <v>88.75</v>
      </c>
      <c r="M24" s="127" t="str">
        <f t="shared" si="2"/>
        <v>PASS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3" customHeight="1" x14ac:dyDescent="0.3">
      <c r="A25" s="43">
        <v>19</v>
      </c>
      <c r="B25" s="51" t="s">
        <v>193</v>
      </c>
      <c r="C25" s="52" t="s">
        <v>194</v>
      </c>
      <c r="D25" s="53">
        <v>60.526315789473685</v>
      </c>
      <c r="E25" s="6">
        <v>12</v>
      </c>
      <c r="F25" s="118">
        <v>12</v>
      </c>
      <c r="G25" s="6">
        <v>17</v>
      </c>
      <c r="H25" s="6">
        <v>16</v>
      </c>
      <c r="I25" s="6"/>
      <c r="J25" s="16"/>
      <c r="K25" s="55">
        <f t="shared" si="0"/>
        <v>57</v>
      </c>
      <c r="L25" s="50">
        <f t="shared" si="1"/>
        <v>71.25</v>
      </c>
      <c r="M25" s="127" t="str">
        <f t="shared" si="2"/>
        <v>PASS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33" customHeight="1" x14ac:dyDescent="0.3">
      <c r="A26" s="43">
        <v>20</v>
      </c>
      <c r="B26" s="51" t="s">
        <v>201</v>
      </c>
      <c r="C26" s="52" t="s">
        <v>202</v>
      </c>
      <c r="D26" s="53">
        <v>60</v>
      </c>
      <c r="E26" s="6">
        <v>19</v>
      </c>
      <c r="F26" s="118">
        <v>20</v>
      </c>
      <c r="G26" s="6">
        <v>16</v>
      </c>
      <c r="H26" s="6">
        <v>17</v>
      </c>
      <c r="I26" s="6"/>
      <c r="J26" s="16"/>
      <c r="K26" s="55">
        <f t="shared" si="0"/>
        <v>72</v>
      </c>
      <c r="L26" s="50">
        <f t="shared" si="1"/>
        <v>90</v>
      </c>
      <c r="M26" s="127" t="str">
        <f t="shared" si="2"/>
        <v>PASS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3" customHeight="1" x14ac:dyDescent="0.3">
      <c r="A27" s="43">
        <v>21</v>
      </c>
      <c r="B27" s="51" t="s">
        <v>203</v>
      </c>
      <c r="C27" s="52" t="s">
        <v>204</v>
      </c>
      <c r="D27" s="53">
        <v>60</v>
      </c>
      <c r="E27" s="6">
        <v>19</v>
      </c>
      <c r="F27" s="118">
        <v>20</v>
      </c>
      <c r="G27" s="6">
        <v>19</v>
      </c>
      <c r="H27" s="6">
        <v>20</v>
      </c>
      <c r="I27" s="6"/>
      <c r="J27" s="16"/>
      <c r="K27" s="55">
        <f t="shared" si="0"/>
        <v>78</v>
      </c>
      <c r="L27" s="50">
        <f t="shared" si="1"/>
        <v>97.5</v>
      </c>
      <c r="M27" s="127" t="str">
        <f t="shared" si="2"/>
        <v>PASS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3" customHeight="1" x14ac:dyDescent="0.3">
      <c r="A28" s="43">
        <v>22</v>
      </c>
      <c r="B28" s="51" t="s">
        <v>205</v>
      </c>
      <c r="C28" s="52" t="s">
        <v>206</v>
      </c>
      <c r="D28" s="53">
        <v>60</v>
      </c>
      <c r="E28" s="6">
        <v>20</v>
      </c>
      <c r="F28" s="118">
        <v>20</v>
      </c>
      <c r="G28" s="6">
        <v>20</v>
      </c>
      <c r="H28" s="6">
        <v>15</v>
      </c>
      <c r="I28" s="6"/>
      <c r="J28" s="16"/>
      <c r="K28" s="55">
        <f t="shared" si="0"/>
        <v>75</v>
      </c>
      <c r="L28" s="50">
        <f t="shared" si="1"/>
        <v>93.75</v>
      </c>
      <c r="M28" s="127" t="str">
        <f t="shared" si="2"/>
        <v>PASS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33" customHeight="1" x14ac:dyDescent="0.3">
      <c r="A29" s="43">
        <v>23</v>
      </c>
      <c r="B29" s="51" t="s">
        <v>163</v>
      </c>
      <c r="C29" s="52" t="s">
        <v>164</v>
      </c>
      <c r="D29" s="53">
        <v>67.808219178082197</v>
      </c>
      <c r="E29" s="6">
        <v>20</v>
      </c>
      <c r="F29" s="118">
        <v>20</v>
      </c>
      <c r="G29" s="6">
        <v>20</v>
      </c>
      <c r="H29" s="6">
        <v>18</v>
      </c>
      <c r="I29" s="6"/>
      <c r="J29" s="16"/>
      <c r="K29" s="55">
        <f t="shared" si="0"/>
        <v>78</v>
      </c>
      <c r="L29" s="50">
        <f t="shared" si="1"/>
        <v>97.5</v>
      </c>
      <c r="M29" s="127" t="str">
        <f t="shared" si="2"/>
        <v>PASS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F30" s="18"/>
    </row>
    <row r="31" spans="1:26" ht="27.75" customHeight="1" x14ac:dyDescent="0.2">
      <c r="C31" s="11"/>
      <c r="D31" s="11"/>
      <c r="E31" s="11"/>
      <c r="F31" s="11"/>
      <c r="G31" s="11"/>
      <c r="H31" s="12"/>
      <c r="I31" s="13"/>
      <c r="J31" s="9" t="s">
        <v>10</v>
      </c>
    </row>
    <row r="32" spans="1:26" ht="27.75" customHeight="1" x14ac:dyDescent="0.2">
      <c r="C32" s="14" t="s">
        <v>11</v>
      </c>
      <c r="D32" s="8"/>
      <c r="E32" s="9">
        <f>COUNTA(E7:E29)</f>
        <v>23</v>
      </c>
      <c r="F32" s="9">
        <f t="shared" ref="F32:H32" si="3">COUNTA(F7:F29)</f>
        <v>23</v>
      </c>
      <c r="G32" s="9">
        <f t="shared" si="3"/>
        <v>23</v>
      </c>
      <c r="H32" s="9">
        <f t="shared" si="3"/>
        <v>23</v>
      </c>
      <c r="I32" s="9">
        <f t="shared" ref="I32" si="4">COUNTA(I8:I29)</f>
        <v>0</v>
      </c>
      <c r="J32" s="9">
        <f>COUNTA(K7:K29)</f>
        <v>23</v>
      </c>
    </row>
    <row r="33" spans="3:10" ht="27.75" customHeight="1" x14ac:dyDescent="0.2">
      <c r="C33" s="14" t="s">
        <v>12</v>
      </c>
      <c r="D33" s="8"/>
      <c r="E33" s="9">
        <f>COUNTIF(E7:E29,"A")</f>
        <v>0</v>
      </c>
      <c r="F33" s="9">
        <f t="shared" ref="F33:H33" si="5">COUNTIF(F7:F29,"A")</f>
        <v>0</v>
      </c>
      <c r="G33" s="9">
        <f t="shared" si="5"/>
        <v>0</v>
      </c>
      <c r="H33" s="9">
        <f t="shared" si="5"/>
        <v>0</v>
      </c>
      <c r="I33" s="9">
        <f>COUNTIF(I8:I29,"A")</f>
        <v>0</v>
      </c>
      <c r="J33" s="9">
        <f>COUNTIF(M7:M29,"A")</f>
        <v>0</v>
      </c>
    </row>
    <row r="34" spans="3:10" ht="27.75" customHeight="1" x14ac:dyDescent="0.2">
      <c r="C34" s="14" t="s">
        <v>13</v>
      </c>
      <c r="D34" s="8"/>
      <c r="E34" s="9">
        <f t="shared" ref="E34:J34" si="6">E32-E33</f>
        <v>23</v>
      </c>
      <c r="F34" s="9">
        <f t="shared" si="6"/>
        <v>23</v>
      </c>
      <c r="G34" s="9">
        <f t="shared" si="6"/>
        <v>23</v>
      </c>
      <c r="H34" s="9">
        <f t="shared" si="6"/>
        <v>23</v>
      </c>
      <c r="I34" s="9">
        <f t="shared" si="6"/>
        <v>0</v>
      </c>
      <c r="J34" s="9">
        <f t="shared" si="6"/>
        <v>23</v>
      </c>
    </row>
    <row r="35" spans="3:10" ht="27.75" customHeight="1" x14ac:dyDescent="0.2">
      <c r="C35" s="14" t="s">
        <v>14</v>
      </c>
      <c r="D35" s="8"/>
      <c r="E35" s="9">
        <f>COUNTIF(E7:E29, "&gt;=7")</f>
        <v>23</v>
      </c>
      <c r="F35" s="9">
        <f t="shared" ref="F35:H35" si="7">COUNTIF(F7:F29, "&gt;=7")</f>
        <v>23</v>
      </c>
      <c r="G35" s="9">
        <f t="shared" si="7"/>
        <v>23</v>
      </c>
      <c r="H35" s="9">
        <f t="shared" si="7"/>
        <v>23</v>
      </c>
      <c r="I35" s="9">
        <f>COUNTIF(I8:I29, "&gt;=22")</f>
        <v>0</v>
      </c>
      <c r="J35" s="9">
        <f>COUNTIF(M7:M29, "PASS")</f>
        <v>23</v>
      </c>
    </row>
    <row r="36" spans="3:10" ht="27.75" customHeight="1" x14ac:dyDescent="0.2">
      <c r="C36" s="14" t="s">
        <v>15</v>
      </c>
      <c r="D36" s="8"/>
      <c r="E36" s="15">
        <f t="shared" ref="E36:J36" si="8">E35/E34</f>
        <v>1</v>
      </c>
      <c r="F36" s="15">
        <f t="shared" si="8"/>
        <v>1</v>
      </c>
      <c r="G36" s="15">
        <f t="shared" si="8"/>
        <v>1</v>
      </c>
      <c r="H36" s="15">
        <f t="shared" si="8"/>
        <v>1</v>
      </c>
      <c r="I36" s="15" t="e">
        <f t="shared" si="8"/>
        <v>#DIV/0!</v>
      </c>
      <c r="J36" s="15">
        <f t="shared" si="8"/>
        <v>1</v>
      </c>
    </row>
    <row r="37" spans="3:10" ht="15.75" customHeight="1" x14ac:dyDescent="0.2">
      <c r="F37" s="18"/>
    </row>
    <row r="38" spans="3:10" ht="15.75" customHeight="1" x14ac:dyDescent="0.2">
      <c r="F38" s="18"/>
    </row>
    <row r="39" spans="3:10" ht="15.75" customHeight="1" x14ac:dyDescent="0.2">
      <c r="F39" s="18"/>
    </row>
    <row r="40" spans="3:10" ht="15.75" customHeight="1" x14ac:dyDescent="0.2">
      <c r="F40" s="18"/>
    </row>
    <row r="41" spans="3:10" ht="15.75" customHeight="1" x14ac:dyDescent="0.2">
      <c r="F41" s="18"/>
    </row>
    <row r="42" spans="3:10" ht="15.75" customHeight="1" x14ac:dyDescent="0.2">
      <c r="F42" s="18"/>
    </row>
    <row r="43" spans="3:10" ht="15.75" customHeight="1" x14ac:dyDescent="0.2">
      <c r="F43" s="18"/>
    </row>
    <row r="44" spans="3:10" ht="15.75" customHeight="1" x14ac:dyDescent="0.2">
      <c r="F44" s="18"/>
    </row>
    <row r="45" spans="3:10" ht="15.75" customHeight="1" x14ac:dyDescent="0.2">
      <c r="F45" s="18"/>
    </row>
    <row r="46" spans="3:10" ht="15.75" customHeight="1" x14ac:dyDescent="0.2">
      <c r="F46" s="18"/>
    </row>
    <row r="47" spans="3:10" ht="15.75" customHeight="1" x14ac:dyDescent="0.2">
      <c r="F47" s="18"/>
    </row>
    <row r="48" spans="3:10" ht="15.75" customHeight="1" x14ac:dyDescent="0.2">
      <c r="F48" s="18"/>
    </row>
    <row r="49" spans="6:6" ht="15.75" customHeight="1" x14ac:dyDescent="0.2">
      <c r="F49" s="18"/>
    </row>
    <row r="50" spans="6:6" ht="15.75" customHeight="1" x14ac:dyDescent="0.2">
      <c r="F50" s="18"/>
    </row>
    <row r="51" spans="6:6" ht="15.75" customHeight="1" x14ac:dyDescent="0.2">
      <c r="F51" s="18"/>
    </row>
    <row r="52" spans="6:6" ht="15.75" customHeight="1" x14ac:dyDescent="0.2">
      <c r="F52" s="18"/>
    </row>
    <row r="53" spans="6:6" ht="15.75" customHeight="1" x14ac:dyDescent="0.2">
      <c r="F53" s="18"/>
    </row>
    <row r="54" spans="6:6" ht="15.75" customHeight="1" x14ac:dyDescent="0.2">
      <c r="F54" s="18"/>
    </row>
    <row r="55" spans="6:6" ht="15.75" customHeight="1" x14ac:dyDescent="0.2">
      <c r="F55" s="18"/>
    </row>
    <row r="56" spans="6:6" ht="15.75" customHeight="1" x14ac:dyDescent="0.2">
      <c r="F56" s="18"/>
    </row>
    <row r="57" spans="6:6" ht="15.75" customHeight="1" x14ac:dyDescent="0.2">
      <c r="F57" s="18"/>
    </row>
    <row r="58" spans="6:6" ht="15.75" customHeight="1" x14ac:dyDescent="0.2">
      <c r="F58" s="18"/>
    </row>
    <row r="59" spans="6:6" ht="15.75" customHeight="1" x14ac:dyDescent="0.2">
      <c r="F59" s="18"/>
    </row>
    <row r="60" spans="6:6" ht="15.75" customHeight="1" x14ac:dyDescent="0.2">
      <c r="F60" s="18"/>
    </row>
    <row r="61" spans="6:6" ht="15.75" customHeight="1" x14ac:dyDescent="0.2">
      <c r="F61" s="18"/>
    </row>
    <row r="62" spans="6:6" ht="15.75" customHeight="1" x14ac:dyDescent="0.2">
      <c r="F62" s="18"/>
    </row>
    <row r="63" spans="6:6" ht="15.75" customHeight="1" x14ac:dyDescent="0.2">
      <c r="F63" s="18"/>
    </row>
    <row r="64" spans="6:6" ht="15.75" customHeight="1" x14ac:dyDescent="0.2">
      <c r="F64" s="18"/>
    </row>
    <row r="65" spans="6:6" ht="15.75" customHeight="1" x14ac:dyDescent="0.2">
      <c r="F65" s="18"/>
    </row>
    <row r="66" spans="6:6" ht="15.75" customHeight="1" x14ac:dyDescent="0.2">
      <c r="F66" s="18"/>
    </row>
    <row r="67" spans="6:6" ht="15.75" customHeight="1" x14ac:dyDescent="0.2">
      <c r="F67" s="18"/>
    </row>
    <row r="68" spans="6:6" ht="15.75" customHeight="1" x14ac:dyDescent="0.2">
      <c r="F68" s="18"/>
    </row>
    <row r="69" spans="6:6" ht="15.75" customHeight="1" x14ac:dyDescent="0.2">
      <c r="F69" s="18"/>
    </row>
    <row r="70" spans="6:6" ht="15.75" customHeight="1" x14ac:dyDescent="0.2">
      <c r="F70" s="18"/>
    </row>
    <row r="71" spans="6:6" ht="15.75" customHeight="1" x14ac:dyDescent="0.2">
      <c r="F71" s="18"/>
    </row>
    <row r="72" spans="6:6" ht="15.75" customHeight="1" x14ac:dyDescent="0.2">
      <c r="F72" s="18"/>
    </row>
    <row r="73" spans="6:6" ht="15.75" customHeight="1" x14ac:dyDescent="0.2">
      <c r="F73" s="18"/>
    </row>
    <row r="74" spans="6:6" ht="15.75" customHeight="1" x14ac:dyDescent="0.2">
      <c r="F74" s="18"/>
    </row>
    <row r="75" spans="6:6" ht="15.75" customHeight="1" x14ac:dyDescent="0.2">
      <c r="F75" s="18"/>
    </row>
    <row r="76" spans="6:6" ht="15.75" customHeight="1" x14ac:dyDescent="0.2">
      <c r="F76" s="18"/>
    </row>
    <row r="77" spans="6:6" ht="15.75" customHeight="1" x14ac:dyDescent="0.2">
      <c r="F77" s="18"/>
    </row>
    <row r="78" spans="6:6" ht="15.75" customHeight="1" x14ac:dyDescent="0.2">
      <c r="F78" s="18"/>
    </row>
    <row r="79" spans="6:6" ht="15.75" customHeight="1" x14ac:dyDescent="0.2">
      <c r="F79" s="18"/>
    </row>
    <row r="80" spans="6:6" ht="15.75" customHeight="1" x14ac:dyDescent="0.2">
      <c r="F80" s="18"/>
    </row>
    <row r="81" spans="6:6" ht="15.75" customHeight="1" x14ac:dyDescent="0.2">
      <c r="F81" s="18"/>
    </row>
    <row r="82" spans="6:6" ht="15.75" customHeight="1" x14ac:dyDescent="0.2">
      <c r="F82" s="18"/>
    </row>
    <row r="83" spans="6:6" ht="15.75" customHeight="1" x14ac:dyDescent="0.2">
      <c r="F83" s="18"/>
    </row>
    <row r="84" spans="6:6" ht="15.75" customHeight="1" x14ac:dyDescent="0.2">
      <c r="F84" s="18"/>
    </row>
    <row r="85" spans="6:6" ht="15.75" customHeight="1" x14ac:dyDescent="0.2">
      <c r="F85" s="18"/>
    </row>
    <row r="86" spans="6:6" ht="15.75" customHeight="1" x14ac:dyDescent="0.2">
      <c r="F86" s="18"/>
    </row>
    <row r="87" spans="6:6" ht="15.75" customHeight="1" x14ac:dyDescent="0.2">
      <c r="F87" s="18"/>
    </row>
    <row r="88" spans="6:6" ht="15.75" customHeight="1" x14ac:dyDescent="0.2">
      <c r="F88" s="18"/>
    </row>
    <row r="89" spans="6:6" ht="15.75" customHeight="1" x14ac:dyDescent="0.2">
      <c r="F89" s="18"/>
    </row>
    <row r="90" spans="6:6" ht="15.75" customHeight="1" x14ac:dyDescent="0.2">
      <c r="F90" s="18"/>
    </row>
    <row r="91" spans="6:6" ht="15.75" customHeight="1" x14ac:dyDescent="0.2">
      <c r="F91" s="18"/>
    </row>
    <row r="92" spans="6:6" ht="15.75" customHeight="1" x14ac:dyDescent="0.2">
      <c r="F92" s="18"/>
    </row>
    <row r="93" spans="6:6" ht="15.75" customHeight="1" x14ac:dyDescent="0.2">
      <c r="F93" s="18"/>
    </row>
    <row r="94" spans="6:6" ht="15.75" customHeight="1" x14ac:dyDescent="0.2">
      <c r="F94" s="18"/>
    </row>
    <row r="95" spans="6:6" ht="15.75" customHeight="1" x14ac:dyDescent="0.2">
      <c r="F95" s="18"/>
    </row>
    <row r="96" spans="6:6" ht="15.75" customHeight="1" x14ac:dyDescent="0.2">
      <c r="F96" s="18"/>
    </row>
    <row r="97" spans="6:6" ht="15.75" customHeight="1" x14ac:dyDescent="0.2">
      <c r="F97" s="18"/>
    </row>
    <row r="98" spans="6:6" ht="15.75" customHeight="1" x14ac:dyDescent="0.2">
      <c r="F98" s="18"/>
    </row>
    <row r="99" spans="6:6" ht="15.75" customHeight="1" x14ac:dyDescent="0.2">
      <c r="F99" s="18"/>
    </row>
    <row r="100" spans="6:6" ht="15.75" customHeight="1" x14ac:dyDescent="0.2">
      <c r="F100" s="18"/>
    </row>
    <row r="101" spans="6:6" ht="15.75" customHeight="1" x14ac:dyDescent="0.2">
      <c r="F101" s="18"/>
    </row>
    <row r="102" spans="6:6" ht="15.75" customHeight="1" x14ac:dyDescent="0.2">
      <c r="F102" s="18"/>
    </row>
    <row r="103" spans="6:6" ht="15.75" customHeight="1" x14ac:dyDescent="0.2">
      <c r="F103" s="18"/>
    </row>
    <row r="104" spans="6:6" ht="15.75" customHeight="1" x14ac:dyDescent="0.2">
      <c r="F104" s="18"/>
    </row>
    <row r="105" spans="6:6" ht="15.75" customHeight="1" x14ac:dyDescent="0.2">
      <c r="F105" s="18"/>
    </row>
    <row r="106" spans="6:6" ht="15.75" customHeight="1" x14ac:dyDescent="0.2">
      <c r="F106" s="18"/>
    </row>
    <row r="107" spans="6:6" ht="15.75" customHeight="1" x14ac:dyDescent="0.2">
      <c r="F107" s="18"/>
    </row>
    <row r="108" spans="6:6" ht="15.75" customHeight="1" x14ac:dyDescent="0.2">
      <c r="F108" s="18"/>
    </row>
    <row r="109" spans="6:6" ht="15.75" customHeight="1" x14ac:dyDescent="0.2">
      <c r="F109" s="18"/>
    </row>
    <row r="110" spans="6:6" ht="15.75" customHeight="1" x14ac:dyDescent="0.2">
      <c r="F110" s="18"/>
    </row>
    <row r="111" spans="6:6" ht="15.75" customHeight="1" x14ac:dyDescent="0.2">
      <c r="F111" s="18"/>
    </row>
    <row r="112" spans="6:6" ht="15.75" customHeight="1" x14ac:dyDescent="0.2">
      <c r="F112" s="18"/>
    </row>
    <row r="113" spans="6:6" ht="15.75" customHeight="1" x14ac:dyDescent="0.2">
      <c r="F113" s="18"/>
    </row>
    <row r="114" spans="6:6" ht="15.75" customHeight="1" x14ac:dyDescent="0.2">
      <c r="F114" s="18"/>
    </row>
    <row r="115" spans="6:6" ht="15.75" customHeight="1" x14ac:dyDescent="0.2">
      <c r="F115" s="18"/>
    </row>
    <row r="116" spans="6:6" ht="15.75" customHeight="1" x14ac:dyDescent="0.2">
      <c r="F116" s="18"/>
    </row>
    <row r="117" spans="6:6" ht="15.75" customHeight="1" x14ac:dyDescent="0.2">
      <c r="F117" s="18"/>
    </row>
    <row r="118" spans="6:6" ht="15.75" customHeight="1" x14ac:dyDescent="0.2">
      <c r="F118" s="18"/>
    </row>
    <row r="119" spans="6:6" ht="15.75" customHeight="1" x14ac:dyDescent="0.2">
      <c r="F119" s="18"/>
    </row>
    <row r="120" spans="6:6" ht="15.75" customHeight="1" x14ac:dyDescent="0.2">
      <c r="F120" s="18"/>
    </row>
    <row r="121" spans="6:6" ht="15.75" customHeight="1" x14ac:dyDescent="0.2">
      <c r="F121" s="18"/>
    </row>
    <row r="122" spans="6:6" ht="15.75" customHeight="1" x14ac:dyDescent="0.2">
      <c r="F122" s="18"/>
    </row>
    <row r="123" spans="6:6" ht="15.75" customHeight="1" x14ac:dyDescent="0.2">
      <c r="F123" s="18"/>
    </row>
    <row r="124" spans="6:6" ht="15.75" customHeight="1" x14ac:dyDescent="0.2">
      <c r="F124" s="18"/>
    </row>
    <row r="125" spans="6:6" ht="15.75" customHeight="1" x14ac:dyDescent="0.2">
      <c r="F125" s="18"/>
    </row>
    <row r="126" spans="6:6" ht="15.75" customHeight="1" x14ac:dyDescent="0.2">
      <c r="F126" s="18"/>
    </row>
    <row r="127" spans="6:6" ht="15.75" customHeight="1" x14ac:dyDescent="0.2">
      <c r="F127" s="18"/>
    </row>
    <row r="128" spans="6:6" ht="15.75" customHeight="1" x14ac:dyDescent="0.2">
      <c r="F128" s="18"/>
    </row>
    <row r="129" spans="6:6" ht="15.75" customHeight="1" x14ac:dyDescent="0.2">
      <c r="F129" s="18"/>
    </row>
    <row r="130" spans="6:6" ht="15.75" customHeight="1" x14ac:dyDescent="0.2">
      <c r="F130" s="18"/>
    </row>
    <row r="131" spans="6:6" ht="15.75" customHeight="1" x14ac:dyDescent="0.2">
      <c r="F131" s="18"/>
    </row>
    <row r="132" spans="6:6" ht="15.75" customHeight="1" x14ac:dyDescent="0.2">
      <c r="F132" s="18"/>
    </row>
    <row r="133" spans="6:6" ht="15.75" customHeight="1" x14ac:dyDescent="0.2">
      <c r="F133" s="18"/>
    </row>
    <row r="134" spans="6:6" ht="15.75" customHeight="1" x14ac:dyDescent="0.2">
      <c r="F134" s="18"/>
    </row>
    <row r="135" spans="6:6" ht="15.75" customHeight="1" x14ac:dyDescent="0.2">
      <c r="F135" s="18"/>
    </row>
    <row r="136" spans="6:6" ht="15.75" customHeight="1" x14ac:dyDescent="0.2">
      <c r="F136" s="18"/>
    </row>
    <row r="137" spans="6:6" ht="15.75" customHeight="1" x14ac:dyDescent="0.2">
      <c r="F137" s="18"/>
    </row>
    <row r="138" spans="6:6" ht="15.75" customHeight="1" x14ac:dyDescent="0.2">
      <c r="F138" s="18"/>
    </row>
    <row r="139" spans="6:6" ht="15.75" customHeight="1" x14ac:dyDescent="0.2">
      <c r="F139" s="18"/>
    </row>
    <row r="140" spans="6:6" ht="15.75" customHeight="1" x14ac:dyDescent="0.2">
      <c r="F140" s="18"/>
    </row>
    <row r="141" spans="6:6" ht="15.75" customHeight="1" x14ac:dyDescent="0.2">
      <c r="F141" s="18"/>
    </row>
    <row r="142" spans="6:6" ht="15.75" customHeight="1" x14ac:dyDescent="0.2">
      <c r="F142" s="18"/>
    </row>
    <row r="143" spans="6:6" ht="15.75" customHeight="1" x14ac:dyDescent="0.2">
      <c r="F143" s="18"/>
    </row>
    <row r="144" spans="6:6" ht="15.75" customHeight="1" x14ac:dyDescent="0.2">
      <c r="F144" s="18"/>
    </row>
    <row r="145" spans="6:6" ht="15.75" customHeight="1" x14ac:dyDescent="0.2">
      <c r="F145" s="18"/>
    </row>
    <row r="146" spans="6:6" ht="15.75" customHeight="1" x14ac:dyDescent="0.2">
      <c r="F146" s="18"/>
    </row>
    <row r="147" spans="6:6" ht="15.75" customHeight="1" x14ac:dyDescent="0.2">
      <c r="F147" s="18"/>
    </row>
    <row r="148" spans="6:6" ht="15.75" customHeight="1" x14ac:dyDescent="0.2">
      <c r="F148" s="18"/>
    </row>
    <row r="149" spans="6:6" ht="15.75" customHeight="1" x14ac:dyDescent="0.2">
      <c r="F149" s="18"/>
    </row>
    <row r="150" spans="6:6" ht="15.75" customHeight="1" x14ac:dyDescent="0.2">
      <c r="F150" s="18"/>
    </row>
    <row r="151" spans="6:6" ht="15.75" customHeight="1" x14ac:dyDescent="0.2">
      <c r="F151" s="18"/>
    </row>
    <row r="152" spans="6:6" ht="15.75" customHeight="1" x14ac:dyDescent="0.2">
      <c r="F152" s="18"/>
    </row>
    <row r="153" spans="6:6" ht="15.75" customHeight="1" x14ac:dyDescent="0.2">
      <c r="F153" s="18"/>
    </row>
    <row r="154" spans="6:6" ht="15.75" customHeight="1" x14ac:dyDescent="0.2">
      <c r="F154" s="18"/>
    </row>
    <row r="155" spans="6:6" ht="15.75" customHeight="1" x14ac:dyDescent="0.2">
      <c r="F155" s="18"/>
    </row>
    <row r="156" spans="6:6" ht="15.75" customHeight="1" x14ac:dyDescent="0.2">
      <c r="F156" s="18"/>
    </row>
    <row r="157" spans="6:6" ht="15.75" customHeight="1" x14ac:dyDescent="0.2">
      <c r="F157" s="18"/>
    </row>
    <row r="158" spans="6:6" ht="15.75" customHeight="1" x14ac:dyDescent="0.2">
      <c r="F158" s="18"/>
    </row>
    <row r="159" spans="6:6" ht="15.75" customHeight="1" x14ac:dyDescent="0.2">
      <c r="F159" s="18"/>
    </row>
    <row r="160" spans="6:6" ht="15.75" customHeight="1" x14ac:dyDescent="0.2">
      <c r="F160" s="18"/>
    </row>
    <row r="161" spans="6:6" ht="15.75" customHeight="1" x14ac:dyDescent="0.2">
      <c r="F161" s="18"/>
    </row>
    <row r="162" spans="6:6" ht="15.75" customHeight="1" x14ac:dyDescent="0.2">
      <c r="F162" s="18"/>
    </row>
    <row r="163" spans="6:6" ht="15.75" customHeight="1" x14ac:dyDescent="0.2">
      <c r="F163" s="18"/>
    </row>
    <row r="164" spans="6:6" ht="15.75" customHeight="1" x14ac:dyDescent="0.2">
      <c r="F164" s="18"/>
    </row>
    <row r="165" spans="6:6" ht="15.75" customHeight="1" x14ac:dyDescent="0.2">
      <c r="F165" s="18"/>
    </row>
    <row r="166" spans="6:6" ht="15.75" customHeight="1" x14ac:dyDescent="0.2">
      <c r="F166" s="18"/>
    </row>
    <row r="167" spans="6:6" ht="15.75" customHeight="1" x14ac:dyDescent="0.2">
      <c r="F167" s="18"/>
    </row>
    <row r="168" spans="6:6" ht="15.75" customHeight="1" x14ac:dyDescent="0.2">
      <c r="F168" s="18"/>
    </row>
    <row r="169" spans="6:6" ht="15.75" customHeight="1" x14ac:dyDescent="0.2">
      <c r="F169" s="18"/>
    </row>
    <row r="170" spans="6:6" ht="15.75" customHeight="1" x14ac:dyDescent="0.2">
      <c r="F170" s="18"/>
    </row>
    <row r="171" spans="6:6" ht="15.75" customHeight="1" x14ac:dyDescent="0.2">
      <c r="F171" s="18"/>
    </row>
    <row r="172" spans="6:6" ht="15.75" customHeight="1" x14ac:dyDescent="0.2">
      <c r="F172" s="18"/>
    </row>
    <row r="173" spans="6:6" ht="15.75" customHeight="1" x14ac:dyDescent="0.2">
      <c r="F173" s="18"/>
    </row>
    <row r="174" spans="6:6" ht="15.75" customHeight="1" x14ac:dyDescent="0.2">
      <c r="F174" s="18"/>
    </row>
    <row r="175" spans="6:6" ht="15.75" customHeight="1" x14ac:dyDescent="0.2">
      <c r="F175" s="18"/>
    </row>
    <row r="176" spans="6:6" ht="15.75" customHeight="1" x14ac:dyDescent="0.2">
      <c r="F176" s="18"/>
    </row>
    <row r="177" spans="6:6" ht="15.75" customHeight="1" x14ac:dyDescent="0.2">
      <c r="F177" s="18"/>
    </row>
    <row r="178" spans="6:6" ht="15.75" customHeight="1" x14ac:dyDescent="0.2">
      <c r="F178" s="18"/>
    </row>
    <row r="179" spans="6:6" ht="15.75" customHeight="1" x14ac:dyDescent="0.2">
      <c r="F179" s="18"/>
    </row>
    <row r="180" spans="6:6" ht="15.75" customHeight="1" x14ac:dyDescent="0.2">
      <c r="F180" s="18"/>
    </row>
    <row r="181" spans="6:6" ht="15.75" customHeight="1" x14ac:dyDescent="0.2">
      <c r="F181" s="18"/>
    </row>
    <row r="182" spans="6:6" ht="15.75" customHeight="1" x14ac:dyDescent="0.2">
      <c r="F182" s="18"/>
    </row>
    <row r="183" spans="6:6" ht="15.75" customHeight="1" x14ac:dyDescent="0.2">
      <c r="F183" s="18"/>
    </row>
    <row r="184" spans="6:6" ht="15.75" customHeight="1" x14ac:dyDescent="0.2">
      <c r="F184" s="18"/>
    </row>
    <row r="185" spans="6:6" ht="15.75" customHeight="1" x14ac:dyDescent="0.2">
      <c r="F185" s="18"/>
    </row>
    <row r="186" spans="6:6" ht="15.75" customHeight="1" x14ac:dyDescent="0.2">
      <c r="F186" s="18"/>
    </row>
    <row r="187" spans="6:6" ht="15.75" customHeight="1" x14ac:dyDescent="0.2">
      <c r="F187" s="18"/>
    </row>
    <row r="188" spans="6:6" ht="15.75" customHeight="1" x14ac:dyDescent="0.2">
      <c r="F188" s="18"/>
    </row>
    <row r="189" spans="6:6" ht="15.75" customHeight="1" x14ac:dyDescent="0.2">
      <c r="F189" s="18"/>
    </row>
    <row r="190" spans="6:6" ht="15.75" customHeight="1" x14ac:dyDescent="0.2">
      <c r="F190" s="18"/>
    </row>
    <row r="191" spans="6:6" ht="15.75" customHeight="1" x14ac:dyDescent="0.2">
      <c r="F191" s="18"/>
    </row>
    <row r="192" spans="6:6" ht="15.75" customHeight="1" x14ac:dyDescent="0.2">
      <c r="F192" s="18"/>
    </row>
    <row r="193" spans="6:6" ht="15.75" customHeight="1" x14ac:dyDescent="0.2">
      <c r="F193" s="18"/>
    </row>
    <row r="194" spans="6:6" ht="15.75" customHeight="1" x14ac:dyDescent="0.2">
      <c r="F194" s="18"/>
    </row>
    <row r="195" spans="6:6" ht="15.75" customHeight="1" x14ac:dyDescent="0.2">
      <c r="F195" s="18"/>
    </row>
    <row r="196" spans="6:6" ht="15.75" customHeight="1" x14ac:dyDescent="0.2">
      <c r="F196" s="18"/>
    </row>
    <row r="197" spans="6:6" ht="15.75" customHeight="1" x14ac:dyDescent="0.2">
      <c r="F197" s="18"/>
    </row>
    <row r="198" spans="6:6" ht="15.75" customHeight="1" x14ac:dyDescent="0.2">
      <c r="F198" s="18"/>
    </row>
    <row r="199" spans="6:6" ht="15.75" customHeight="1" x14ac:dyDescent="0.2">
      <c r="F199" s="18"/>
    </row>
    <row r="200" spans="6:6" ht="15.75" customHeight="1" x14ac:dyDescent="0.2">
      <c r="F200" s="18"/>
    </row>
    <row r="201" spans="6:6" ht="15.75" customHeight="1" x14ac:dyDescent="0.2">
      <c r="F201" s="18"/>
    </row>
    <row r="202" spans="6:6" ht="15.75" customHeight="1" x14ac:dyDescent="0.2">
      <c r="F202" s="18"/>
    </row>
    <row r="203" spans="6:6" ht="15.75" customHeight="1" x14ac:dyDescent="0.2">
      <c r="F203" s="18"/>
    </row>
    <row r="204" spans="6:6" ht="15.75" customHeight="1" x14ac:dyDescent="0.2">
      <c r="F204" s="18"/>
    </row>
    <row r="205" spans="6:6" ht="15.75" customHeight="1" x14ac:dyDescent="0.2">
      <c r="F205" s="18"/>
    </row>
    <row r="206" spans="6:6" ht="15.75" customHeight="1" x14ac:dyDescent="0.2">
      <c r="F206" s="18"/>
    </row>
    <row r="207" spans="6:6" ht="15.75" customHeight="1" x14ac:dyDescent="0.2">
      <c r="F207" s="18"/>
    </row>
    <row r="208" spans="6:6" ht="15.75" customHeight="1" x14ac:dyDescent="0.2">
      <c r="F208" s="18"/>
    </row>
    <row r="209" spans="6:6" ht="15.75" customHeight="1" x14ac:dyDescent="0.2">
      <c r="F209" s="18"/>
    </row>
    <row r="210" spans="6:6" ht="15.75" customHeight="1" x14ac:dyDescent="0.2">
      <c r="F210" s="18"/>
    </row>
    <row r="211" spans="6:6" ht="15.75" customHeight="1" x14ac:dyDescent="0.2">
      <c r="F211" s="18"/>
    </row>
    <row r="212" spans="6:6" ht="15.75" customHeight="1" x14ac:dyDescent="0.2">
      <c r="F212" s="18"/>
    </row>
    <row r="213" spans="6:6" ht="15.75" customHeight="1" x14ac:dyDescent="0.2">
      <c r="F213" s="18"/>
    </row>
    <row r="214" spans="6:6" ht="15.75" customHeight="1" x14ac:dyDescent="0.2">
      <c r="F214" s="18"/>
    </row>
    <row r="215" spans="6:6" ht="15.75" customHeight="1" x14ac:dyDescent="0.2">
      <c r="F215" s="18"/>
    </row>
    <row r="216" spans="6:6" ht="15.75" customHeight="1" x14ac:dyDescent="0.2">
      <c r="F216" s="18"/>
    </row>
    <row r="217" spans="6:6" ht="15.75" customHeight="1" x14ac:dyDescent="0.2">
      <c r="F217" s="18"/>
    </row>
    <row r="218" spans="6:6" ht="15.75" customHeight="1" x14ac:dyDescent="0.2">
      <c r="F218" s="18"/>
    </row>
    <row r="219" spans="6:6" ht="15.75" customHeight="1" x14ac:dyDescent="0.2">
      <c r="F219" s="18"/>
    </row>
    <row r="220" spans="6:6" ht="15.75" customHeight="1" x14ac:dyDescent="0.2">
      <c r="F220" s="18"/>
    </row>
    <row r="221" spans="6:6" ht="15.75" customHeight="1" x14ac:dyDescent="0.2">
      <c r="F221" s="18"/>
    </row>
    <row r="222" spans="6:6" ht="15.75" customHeight="1" x14ac:dyDescent="0.2">
      <c r="F222" s="18"/>
    </row>
    <row r="223" spans="6:6" ht="15.75" customHeight="1" x14ac:dyDescent="0.2">
      <c r="F223" s="18"/>
    </row>
    <row r="224" spans="6:6" ht="15.75" customHeight="1" x14ac:dyDescent="0.2">
      <c r="F224" s="18"/>
    </row>
    <row r="225" spans="6:6" ht="15.75" customHeight="1" x14ac:dyDescent="0.2">
      <c r="F225" s="18"/>
    </row>
    <row r="226" spans="6:6" ht="15.75" customHeight="1" x14ac:dyDescent="0.2">
      <c r="F226" s="18"/>
    </row>
    <row r="227" spans="6:6" ht="15.75" customHeight="1" x14ac:dyDescent="0.2">
      <c r="F227" s="18"/>
    </row>
    <row r="228" spans="6:6" ht="15.75" customHeight="1" x14ac:dyDescent="0.2">
      <c r="F228" s="18"/>
    </row>
    <row r="229" spans="6:6" ht="15.75" customHeight="1" x14ac:dyDescent="0.2">
      <c r="F229" s="18"/>
    </row>
    <row r="230" spans="6:6" ht="15.75" customHeight="1" x14ac:dyDescent="0.2">
      <c r="F230" s="18"/>
    </row>
    <row r="231" spans="6:6" ht="15.75" customHeight="1" x14ac:dyDescent="0.2">
      <c r="F231" s="18"/>
    </row>
    <row r="232" spans="6:6" ht="15.75" customHeight="1" x14ac:dyDescent="0.2">
      <c r="F232" s="18"/>
    </row>
    <row r="233" spans="6:6" ht="15.75" customHeight="1" x14ac:dyDescent="0.2">
      <c r="F233" s="18"/>
    </row>
    <row r="234" spans="6:6" ht="15.75" customHeight="1" x14ac:dyDescent="0.2">
      <c r="F234" s="18"/>
    </row>
    <row r="235" spans="6:6" ht="15.75" customHeight="1" x14ac:dyDescent="0.2">
      <c r="F235" s="18"/>
    </row>
    <row r="236" spans="6:6" ht="15.75" customHeight="1" x14ac:dyDescent="0.2">
      <c r="F236" s="18"/>
    </row>
    <row r="237" spans="6:6" ht="15.75" customHeight="1" x14ac:dyDescent="0.2">
      <c r="F237" s="18"/>
    </row>
    <row r="238" spans="6:6" ht="15.75" customHeight="1" x14ac:dyDescent="0.2">
      <c r="F238" s="18"/>
    </row>
    <row r="239" spans="6:6" ht="15.75" customHeight="1" x14ac:dyDescent="0.2">
      <c r="F239" s="18"/>
    </row>
    <row r="240" spans="6:6" ht="15.75" customHeight="1" x14ac:dyDescent="0.2">
      <c r="F240" s="18"/>
    </row>
    <row r="241" spans="6:6" ht="15.75" customHeight="1" x14ac:dyDescent="0.2">
      <c r="F241" s="18"/>
    </row>
    <row r="242" spans="6:6" ht="15.75" customHeight="1" x14ac:dyDescent="0.2">
      <c r="F242" s="18"/>
    </row>
    <row r="243" spans="6:6" ht="15.75" customHeight="1" x14ac:dyDescent="0.2">
      <c r="F243" s="18"/>
    </row>
    <row r="244" spans="6:6" ht="15.75" customHeight="1" x14ac:dyDescent="0.2">
      <c r="F244" s="18"/>
    </row>
    <row r="245" spans="6:6" ht="15.75" customHeight="1" x14ac:dyDescent="0.2">
      <c r="F245" s="18"/>
    </row>
    <row r="246" spans="6:6" ht="15.75" customHeight="1" x14ac:dyDescent="0.2">
      <c r="F246" s="18"/>
    </row>
    <row r="247" spans="6:6" ht="15.75" customHeight="1" x14ac:dyDescent="0.2">
      <c r="F247" s="18"/>
    </row>
    <row r="248" spans="6:6" ht="15.75" customHeight="1" x14ac:dyDescent="0.2">
      <c r="F248" s="18"/>
    </row>
    <row r="249" spans="6:6" ht="15.75" customHeight="1" x14ac:dyDescent="0.2">
      <c r="F249" s="18"/>
    </row>
    <row r="250" spans="6:6" ht="15.75" customHeight="1" x14ac:dyDescent="0.2">
      <c r="F250" s="18"/>
    </row>
    <row r="251" spans="6:6" ht="15.75" customHeight="1" x14ac:dyDescent="0.2">
      <c r="F251" s="18"/>
    </row>
    <row r="252" spans="6:6" ht="15.75" customHeight="1" x14ac:dyDescent="0.2">
      <c r="F252" s="18"/>
    </row>
    <row r="253" spans="6:6" ht="15.75" customHeight="1" x14ac:dyDescent="0.2">
      <c r="F253" s="18"/>
    </row>
    <row r="254" spans="6:6" ht="15.75" customHeight="1" x14ac:dyDescent="0.2">
      <c r="F254" s="18"/>
    </row>
    <row r="255" spans="6:6" ht="15.75" customHeight="1" x14ac:dyDescent="0.2">
      <c r="F255" s="18"/>
    </row>
    <row r="256" spans="6:6" ht="15.75" customHeight="1" x14ac:dyDescent="0.2">
      <c r="F256" s="18"/>
    </row>
    <row r="257" spans="6:6" ht="15.75" customHeight="1" x14ac:dyDescent="0.2">
      <c r="F257" s="18"/>
    </row>
    <row r="258" spans="6:6" ht="15.75" customHeight="1" x14ac:dyDescent="0.2">
      <c r="F258" s="18"/>
    </row>
    <row r="259" spans="6:6" ht="15.75" customHeight="1" x14ac:dyDescent="0.2">
      <c r="F259" s="18"/>
    </row>
    <row r="260" spans="6:6" ht="15.75" customHeight="1" x14ac:dyDescent="0.2">
      <c r="F260" s="18"/>
    </row>
    <row r="261" spans="6:6" ht="15.75" customHeight="1" x14ac:dyDescent="0.2">
      <c r="F261" s="18"/>
    </row>
    <row r="262" spans="6:6" ht="15.75" customHeight="1" x14ac:dyDescent="0.2">
      <c r="F262" s="18"/>
    </row>
    <row r="263" spans="6:6" ht="15.75" customHeight="1" x14ac:dyDescent="0.2">
      <c r="F263" s="18"/>
    </row>
    <row r="264" spans="6:6" ht="15.75" customHeight="1" x14ac:dyDescent="0.2">
      <c r="F264" s="18"/>
    </row>
    <row r="265" spans="6:6" ht="15.75" customHeight="1" x14ac:dyDescent="0.2">
      <c r="F265" s="18"/>
    </row>
    <row r="266" spans="6:6" ht="15.75" customHeight="1" x14ac:dyDescent="0.2">
      <c r="F266" s="18"/>
    </row>
    <row r="267" spans="6:6" ht="15.75" customHeight="1" x14ac:dyDescent="0.2">
      <c r="F267" s="18"/>
    </row>
    <row r="268" spans="6:6" ht="15.75" customHeight="1" x14ac:dyDescent="0.2">
      <c r="F268" s="18"/>
    </row>
    <row r="269" spans="6:6" ht="15.75" customHeight="1" x14ac:dyDescent="0.2">
      <c r="F269" s="18"/>
    </row>
    <row r="270" spans="6:6" ht="15.75" customHeight="1" x14ac:dyDescent="0.2">
      <c r="F270" s="18"/>
    </row>
    <row r="271" spans="6:6" ht="15.75" customHeight="1" x14ac:dyDescent="0.2">
      <c r="F271" s="18"/>
    </row>
    <row r="272" spans="6:6" ht="15.75" customHeight="1" x14ac:dyDescent="0.2">
      <c r="F272" s="18"/>
    </row>
    <row r="273" spans="6:6" ht="15.75" customHeight="1" x14ac:dyDescent="0.2">
      <c r="F273" s="18"/>
    </row>
    <row r="274" spans="6:6" ht="15.75" customHeight="1" x14ac:dyDescent="0.2">
      <c r="F274" s="18"/>
    </row>
    <row r="275" spans="6:6" ht="15.75" customHeight="1" x14ac:dyDescent="0.2">
      <c r="F275" s="18"/>
    </row>
    <row r="276" spans="6:6" ht="15.75" customHeight="1" x14ac:dyDescent="0.2">
      <c r="F276" s="18"/>
    </row>
    <row r="277" spans="6:6" ht="15.75" customHeight="1" x14ac:dyDescent="0.2">
      <c r="F277" s="18"/>
    </row>
    <row r="278" spans="6:6" ht="15.75" customHeight="1" x14ac:dyDescent="0.2">
      <c r="F278" s="18"/>
    </row>
    <row r="279" spans="6:6" ht="15.75" customHeight="1" x14ac:dyDescent="0.2">
      <c r="F279" s="18"/>
    </row>
    <row r="280" spans="6:6" ht="15.75" customHeight="1" x14ac:dyDescent="0.2">
      <c r="F280" s="18"/>
    </row>
    <row r="281" spans="6:6" ht="15.75" customHeight="1" x14ac:dyDescent="0.2">
      <c r="F281" s="18"/>
    </row>
    <row r="282" spans="6:6" ht="15.75" customHeight="1" x14ac:dyDescent="0.2">
      <c r="F282" s="18"/>
    </row>
    <row r="283" spans="6:6" ht="15.75" customHeight="1" x14ac:dyDescent="0.2">
      <c r="F283" s="18"/>
    </row>
    <row r="284" spans="6:6" ht="15.75" customHeight="1" x14ac:dyDescent="0.2">
      <c r="F284" s="18"/>
    </row>
    <row r="285" spans="6:6" ht="15.75" customHeight="1" x14ac:dyDescent="0.2">
      <c r="F285" s="18"/>
    </row>
    <row r="286" spans="6:6" ht="15.75" customHeight="1" x14ac:dyDescent="0.2">
      <c r="F286" s="18"/>
    </row>
    <row r="287" spans="6:6" ht="15.75" customHeight="1" x14ac:dyDescent="0.2">
      <c r="F287" s="18"/>
    </row>
    <row r="288" spans="6:6" ht="15.75" customHeight="1" x14ac:dyDescent="0.2">
      <c r="F288" s="18"/>
    </row>
    <row r="289" spans="6:6" ht="15.75" customHeight="1" x14ac:dyDescent="0.2">
      <c r="F289" s="18"/>
    </row>
    <row r="290" spans="6:6" ht="15.75" customHeight="1" x14ac:dyDescent="0.2">
      <c r="F290" s="18"/>
    </row>
    <row r="291" spans="6:6" ht="15.75" customHeight="1" x14ac:dyDescent="0.2">
      <c r="F291" s="18"/>
    </row>
    <row r="292" spans="6:6" ht="15.75" customHeight="1" x14ac:dyDescent="0.2">
      <c r="F292" s="18"/>
    </row>
    <row r="293" spans="6:6" ht="15.75" customHeight="1" x14ac:dyDescent="0.2">
      <c r="F293" s="18"/>
    </row>
    <row r="294" spans="6:6" ht="15.75" customHeight="1" x14ac:dyDescent="0.2">
      <c r="F294" s="18"/>
    </row>
    <row r="295" spans="6:6" ht="15.75" customHeight="1" x14ac:dyDescent="0.2">
      <c r="F295" s="18"/>
    </row>
    <row r="296" spans="6:6" ht="15.75" customHeight="1" x14ac:dyDescent="0.2">
      <c r="F296" s="18"/>
    </row>
    <row r="297" spans="6:6" ht="15.75" customHeight="1" x14ac:dyDescent="0.2">
      <c r="F297" s="18"/>
    </row>
    <row r="298" spans="6:6" ht="15.75" customHeight="1" x14ac:dyDescent="0.2">
      <c r="F298" s="18"/>
    </row>
    <row r="299" spans="6:6" ht="15.75" customHeight="1" x14ac:dyDescent="0.2">
      <c r="F299" s="18"/>
    </row>
    <row r="300" spans="6:6" ht="15.75" customHeight="1" x14ac:dyDescent="0.2">
      <c r="F300" s="18"/>
    </row>
    <row r="301" spans="6:6" ht="15.75" customHeight="1" x14ac:dyDescent="0.2">
      <c r="F301" s="18"/>
    </row>
    <row r="302" spans="6:6" ht="15.75" customHeight="1" x14ac:dyDescent="0.2">
      <c r="F302" s="18"/>
    </row>
    <row r="303" spans="6:6" ht="15.75" customHeight="1" x14ac:dyDescent="0.2">
      <c r="F303" s="18"/>
    </row>
    <row r="304" spans="6:6" ht="15.75" customHeight="1" x14ac:dyDescent="0.2">
      <c r="F304" s="18"/>
    </row>
    <row r="305" spans="6:6" ht="15.75" customHeight="1" x14ac:dyDescent="0.2">
      <c r="F305" s="18"/>
    </row>
    <row r="306" spans="6:6" ht="15.75" customHeight="1" x14ac:dyDescent="0.2">
      <c r="F306" s="18"/>
    </row>
    <row r="307" spans="6:6" ht="15.75" customHeight="1" x14ac:dyDescent="0.2">
      <c r="F307" s="18"/>
    </row>
    <row r="308" spans="6:6" ht="15.75" customHeight="1" x14ac:dyDescent="0.2">
      <c r="F308" s="18"/>
    </row>
    <row r="309" spans="6:6" ht="15.75" customHeight="1" x14ac:dyDescent="0.2">
      <c r="F309" s="18"/>
    </row>
    <row r="310" spans="6:6" ht="15.75" customHeight="1" x14ac:dyDescent="0.2">
      <c r="F310" s="18"/>
    </row>
    <row r="311" spans="6:6" ht="15.75" customHeight="1" x14ac:dyDescent="0.2">
      <c r="F311" s="18"/>
    </row>
    <row r="312" spans="6:6" ht="15.75" customHeight="1" x14ac:dyDescent="0.2">
      <c r="F312" s="18"/>
    </row>
    <row r="313" spans="6:6" ht="15.75" customHeight="1" x14ac:dyDescent="0.2">
      <c r="F313" s="18"/>
    </row>
    <row r="314" spans="6:6" ht="15.75" customHeight="1" x14ac:dyDescent="0.2">
      <c r="F314" s="18"/>
    </row>
    <row r="315" spans="6:6" ht="15.75" customHeight="1" x14ac:dyDescent="0.2">
      <c r="F315" s="18"/>
    </row>
    <row r="316" spans="6:6" ht="15.75" customHeight="1" x14ac:dyDescent="0.2">
      <c r="F316" s="18"/>
    </row>
    <row r="317" spans="6:6" ht="15.75" customHeight="1" x14ac:dyDescent="0.2">
      <c r="F317" s="18"/>
    </row>
    <row r="318" spans="6:6" ht="15.75" customHeight="1" x14ac:dyDescent="0.2">
      <c r="F318" s="18"/>
    </row>
    <row r="319" spans="6:6" ht="15.75" customHeight="1" x14ac:dyDescent="0.2">
      <c r="F319" s="18"/>
    </row>
    <row r="320" spans="6:6" ht="15.75" customHeight="1" x14ac:dyDescent="0.2">
      <c r="F320" s="18"/>
    </row>
    <row r="321" spans="6:6" ht="15.75" customHeight="1" x14ac:dyDescent="0.2">
      <c r="F321" s="18"/>
    </row>
    <row r="322" spans="6:6" ht="15.75" customHeight="1" x14ac:dyDescent="0.2">
      <c r="F322" s="18"/>
    </row>
    <row r="323" spans="6:6" ht="15.75" customHeight="1" x14ac:dyDescent="0.2">
      <c r="F323" s="18"/>
    </row>
    <row r="324" spans="6:6" ht="15.75" customHeight="1" x14ac:dyDescent="0.2">
      <c r="F324" s="18"/>
    </row>
    <row r="325" spans="6:6" ht="15.75" customHeight="1" x14ac:dyDescent="0.2">
      <c r="F325" s="18"/>
    </row>
    <row r="326" spans="6:6" ht="15.75" customHeight="1" x14ac:dyDescent="0.2">
      <c r="F326" s="18"/>
    </row>
    <row r="327" spans="6:6" ht="15.75" customHeight="1" x14ac:dyDescent="0.2">
      <c r="F327" s="18"/>
    </row>
    <row r="328" spans="6:6" ht="15.75" customHeight="1" x14ac:dyDescent="0.2">
      <c r="F328" s="18"/>
    </row>
    <row r="329" spans="6:6" ht="15.75" customHeight="1" x14ac:dyDescent="0.2">
      <c r="F329" s="18"/>
    </row>
    <row r="330" spans="6:6" ht="15.75" customHeight="1" x14ac:dyDescent="0.2">
      <c r="F330" s="18"/>
    </row>
    <row r="331" spans="6:6" ht="15.75" customHeight="1" x14ac:dyDescent="0.2">
      <c r="F331" s="18"/>
    </row>
    <row r="332" spans="6:6" ht="15.75" customHeight="1" x14ac:dyDescent="0.2">
      <c r="F332" s="18"/>
    </row>
    <row r="333" spans="6:6" ht="15.75" customHeight="1" x14ac:dyDescent="0.2">
      <c r="F333" s="18"/>
    </row>
    <row r="334" spans="6:6" ht="15.75" customHeight="1" x14ac:dyDescent="0.2">
      <c r="F334" s="18"/>
    </row>
    <row r="335" spans="6:6" ht="15.75" customHeight="1" x14ac:dyDescent="0.2">
      <c r="F335" s="18"/>
    </row>
    <row r="336" spans="6:6" ht="15.75" customHeight="1" x14ac:dyDescent="0.2">
      <c r="F336" s="18"/>
    </row>
    <row r="337" spans="6:6" ht="15.75" customHeight="1" x14ac:dyDescent="0.2">
      <c r="F337" s="18"/>
    </row>
    <row r="338" spans="6:6" ht="15.75" customHeight="1" x14ac:dyDescent="0.2">
      <c r="F338" s="18"/>
    </row>
    <row r="339" spans="6:6" ht="15.75" customHeight="1" x14ac:dyDescent="0.2">
      <c r="F339" s="18"/>
    </row>
    <row r="340" spans="6:6" ht="15.75" customHeight="1" x14ac:dyDescent="0.2">
      <c r="F340" s="18"/>
    </row>
    <row r="341" spans="6:6" ht="15.75" customHeight="1" x14ac:dyDescent="0.2">
      <c r="F341" s="18"/>
    </row>
    <row r="342" spans="6:6" ht="15.75" customHeight="1" x14ac:dyDescent="0.2">
      <c r="F342" s="18"/>
    </row>
    <row r="343" spans="6:6" ht="15.75" customHeight="1" x14ac:dyDescent="0.2">
      <c r="F343" s="18"/>
    </row>
    <row r="344" spans="6:6" ht="15.75" customHeight="1" x14ac:dyDescent="0.2">
      <c r="F344" s="18"/>
    </row>
    <row r="345" spans="6:6" ht="15.75" customHeight="1" x14ac:dyDescent="0.2">
      <c r="F345" s="18"/>
    </row>
    <row r="346" spans="6:6" ht="15.75" customHeight="1" x14ac:dyDescent="0.2">
      <c r="F346" s="18"/>
    </row>
    <row r="347" spans="6:6" ht="15.75" customHeight="1" x14ac:dyDescent="0.2">
      <c r="F347" s="18"/>
    </row>
    <row r="348" spans="6:6" ht="15.75" customHeight="1" x14ac:dyDescent="0.2">
      <c r="F348" s="18"/>
    </row>
    <row r="349" spans="6:6" ht="15.75" customHeight="1" x14ac:dyDescent="0.2">
      <c r="F349" s="18"/>
    </row>
    <row r="350" spans="6:6" ht="15.75" customHeight="1" x14ac:dyDescent="0.2">
      <c r="F350" s="18"/>
    </row>
    <row r="351" spans="6:6" ht="15.75" customHeight="1" x14ac:dyDescent="0.2">
      <c r="F351" s="18"/>
    </row>
    <row r="352" spans="6:6" ht="15.75" customHeight="1" x14ac:dyDescent="0.2">
      <c r="F352" s="18"/>
    </row>
    <row r="353" spans="6:6" ht="15.75" customHeight="1" x14ac:dyDescent="0.2">
      <c r="F353" s="18"/>
    </row>
    <row r="354" spans="6:6" ht="15.75" customHeight="1" x14ac:dyDescent="0.2">
      <c r="F354" s="18"/>
    </row>
    <row r="355" spans="6:6" ht="15.75" customHeight="1" x14ac:dyDescent="0.2">
      <c r="F355" s="18"/>
    </row>
    <row r="356" spans="6:6" ht="15.75" customHeight="1" x14ac:dyDescent="0.2">
      <c r="F356" s="18"/>
    </row>
    <row r="357" spans="6:6" ht="15.75" customHeight="1" x14ac:dyDescent="0.2">
      <c r="F357" s="18"/>
    </row>
    <row r="358" spans="6:6" ht="15.75" customHeight="1" x14ac:dyDescent="0.2">
      <c r="F358" s="18"/>
    </row>
    <row r="359" spans="6:6" ht="15.75" customHeight="1" x14ac:dyDescent="0.2">
      <c r="F359" s="18"/>
    </row>
    <row r="360" spans="6:6" ht="15.75" customHeight="1" x14ac:dyDescent="0.2">
      <c r="F360" s="18"/>
    </row>
    <row r="361" spans="6:6" ht="15.75" customHeight="1" x14ac:dyDescent="0.2">
      <c r="F361" s="18"/>
    </row>
    <row r="362" spans="6:6" ht="15.75" customHeight="1" x14ac:dyDescent="0.2">
      <c r="F362" s="18"/>
    </row>
    <row r="363" spans="6:6" ht="15.75" customHeight="1" x14ac:dyDescent="0.2">
      <c r="F363" s="18"/>
    </row>
    <row r="364" spans="6:6" ht="15.75" customHeight="1" x14ac:dyDescent="0.2">
      <c r="F364" s="18"/>
    </row>
    <row r="365" spans="6:6" ht="15.75" customHeight="1" x14ac:dyDescent="0.2">
      <c r="F365" s="18"/>
    </row>
    <row r="366" spans="6:6" ht="15.75" customHeight="1" x14ac:dyDescent="0.2">
      <c r="F366" s="18"/>
    </row>
    <row r="367" spans="6:6" ht="15.75" customHeight="1" x14ac:dyDescent="0.2">
      <c r="F367" s="18"/>
    </row>
    <row r="368" spans="6:6" ht="15.75" customHeight="1" x14ac:dyDescent="0.2">
      <c r="F368" s="18"/>
    </row>
    <row r="369" spans="6:6" ht="15.75" customHeight="1" x14ac:dyDescent="0.2">
      <c r="F369" s="18"/>
    </row>
    <row r="370" spans="6:6" ht="15.75" customHeight="1" x14ac:dyDescent="0.2">
      <c r="F370" s="18"/>
    </row>
    <row r="371" spans="6:6" ht="15.75" customHeight="1" x14ac:dyDescent="0.2">
      <c r="F371" s="18"/>
    </row>
    <row r="372" spans="6:6" ht="15.75" customHeight="1" x14ac:dyDescent="0.2">
      <c r="F372" s="18"/>
    </row>
    <row r="373" spans="6:6" ht="15.75" customHeight="1" x14ac:dyDescent="0.2">
      <c r="F373" s="18"/>
    </row>
    <row r="374" spans="6:6" ht="15.75" customHeight="1" x14ac:dyDescent="0.2">
      <c r="F374" s="18"/>
    </row>
    <row r="375" spans="6:6" ht="15.75" customHeight="1" x14ac:dyDescent="0.2">
      <c r="F375" s="18"/>
    </row>
    <row r="376" spans="6:6" ht="15.75" customHeight="1" x14ac:dyDescent="0.2">
      <c r="F376" s="18"/>
    </row>
    <row r="377" spans="6:6" ht="15.75" customHeight="1" x14ac:dyDescent="0.2">
      <c r="F377" s="18"/>
    </row>
    <row r="378" spans="6:6" ht="15.75" customHeight="1" x14ac:dyDescent="0.2">
      <c r="F378" s="18"/>
    </row>
    <row r="379" spans="6:6" ht="15.75" customHeight="1" x14ac:dyDescent="0.2">
      <c r="F379" s="18"/>
    </row>
    <row r="380" spans="6:6" ht="15.75" customHeight="1" x14ac:dyDescent="0.2">
      <c r="F380" s="18"/>
    </row>
    <row r="381" spans="6:6" ht="15.75" customHeight="1" x14ac:dyDescent="0.2">
      <c r="F381" s="18"/>
    </row>
    <row r="382" spans="6:6" ht="15.75" customHeight="1" x14ac:dyDescent="0.2">
      <c r="F382" s="18"/>
    </row>
    <row r="383" spans="6:6" ht="15.75" customHeight="1" x14ac:dyDescent="0.2">
      <c r="F383" s="18"/>
    </row>
    <row r="384" spans="6:6" ht="15.75" customHeight="1" x14ac:dyDescent="0.2">
      <c r="F384" s="18"/>
    </row>
    <row r="385" spans="6:6" ht="15.75" customHeight="1" x14ac:dyDescent="0.2">
      <c r="F385" s="18"/>
    </row>
    <row r="386" spans="6:6" ht="15.75" customHeight="1" x14ac:dyDescent="0.2">
      <c r="F386" s="18"/>
    </row>
    <row r="387" spans="6:6" ht="15.75" customHeight="1" x14ac:dyDescent="0.2">
      <c r="F387" s="18"/>
    </row>
    <row r="388" spans="6:6" ht="15.75" customHeight="1" x14ac:dyDescent="0.2">
      <c r="F388" s="18"/>
    </row>
    <row r="389" spans="6:6" ht="15.75" customHeight="1" x14ac:dyDescent="0.2">
      <c r="F389" s="18"/>
    </row>
    <row r="390" spans="6:6" ht="15.75" customHeight="1" x14ac:dyDescent="0.2">
      <c r="F390" s="18"/>
    </row>
    <row r="391" spans="6:6" ht="15.75" customHeight="1" x14ac:dyDescent="0.2">
      <c r="F391" s="18"/>
    </row>
    <row r="392" spans="6:6" ht="15.75" customHeight="1" x14ac:dyDescent="0.2">
      <c r="F392" s="18"/>
    </row>
    <row r="393" spans="6:6" ht="15.75" customHeight="1" x14ac:dyDescent="0.2">
      <c r="F393" s="18"/>
    </row>
    <row r="394" spans="6:6" ht="15.75" customHeight="1" x14ac:dyDescent="0.2">
      <c r="F394" s="18"/>
    </row>
    <row r="395" spans="6:6" ht="15.75" customHeight="1" x14ac:dyDescent="0.2">
      <c r="F395" s="18"/>
    </row>
    <row r="396" spans="6:6" ht="15.75" customHeight="1" x14ac:dyDescent="0.2">
      <c r="F396" s="18"/>
    </row>
    <row r="397" spans="6:6" ht="15.75" customHeight="1" x14ac:dyDescent="0.2">
      <c r="F397" s="18"/>
    </row>
    <row r="398" spans="6:6" ht="15.75" customHeight="1" x14ac:dyDescent="0.2">
      <c r="F398" s="18"/>
    </row>
    <row r="399" spans="6:6" ht="15.75" customHeight="1" x14ac:dyDescent="0.2">
      <c r="F399" s="18"/>
    </row>
    <row r="400" spans="6:6" ht="15.75" customHeight="1" x14ac:dyDescent="0.2">
      <c r="F400" s="18"/>
    </row>
    <row r="401" spans="6:6" ht="15.75" customHeight="1" x14ac:dyDescent="0.2">
      <c r="F401" s="18"/>
    </row>
    <row r="402" spans="6:6" ht="15.75" customHeight="1" x14ac:dyDescent="0.2">
      <c r="F402" s="18"/>
    </row>
    <row r="403" spans="6:6" ht="15.75" customHeight="1" x14ac:dyDescent="0.2">
      <c r="F403" s="18"/>
    </row>
    <row r="404" spans="6:6" ht="15.75" customHeight="1" x14ac:dyDescent="0.2">
      <c r="F404" s="18"/>
    </row>
    <row r="405" spans="6:6" ht="15.75" customHeight="1" x14ac:dyDescent="0.2">
      <c r="F405" s="18"/>
    </row>
    <row r="406" spans="6:6" ht="15.75" customHeight="1" x14ac:dyDescent="0.2">
      <c r="F406" s="18"/>
    </row>
    <row r="407" spans="6:6" ht="15.75" customHeight="1" x14ac:dyDescent="0.2">
      <c r="F407" s="18"/>
    </row>
    <row r="408" spans="6:6" ht="15.75" customHeight="1" x14ac:dyDescent="0.2">
      <c r="F408" s="18"/>
    </row>
    <row r="409" spans="6:6" ht="15.75" customHeight="1" x14ac:dyDescent="0.2">
      <c r="F409" s="18"/>
    </row>
    <row r="410" spans="6:6" ht="15.75" customHeight="1" x14ac:dyDescent="0.2">
      <c r="F410" s="18"/>
    </row>
    <row r="411" spans="6:6" ht="15.75" customHeight="1" x14ac:dyDescent="0.2">
      <c r="F411" s="18"/>
    </row>
    <row r="412" spans="6:6" ht="15.75" customHeight="1" x14ac:dyDescent="0.2">
      <c r="F412" s="18"/>
    </row>
    <row r="413" spans="6:6" ht="15.75" customHeight="1" x14ac:dyDescent="0.2">
      <c r="F413" s="18"/>
    </row>
    <row r="414" spans="6:6" ht="15.75" customHeight="1" x14ac:dyDescent="0.2">
      <c r="F414" s="18"/>
    </row>
    <row r="415" spans="6:6" ht="15.75" customHeight="1" x14ac:dyDescent="0.2">
      <c r="F415" s="18"/>
    </row>
    <row r="416" spans="6:6" ht="15.75" customHeight="1" x14ac:dyDescent="0.2">
      <c r="F416" s="18"/>
    </row>
    <row r="417" spans="6:6" ht="15.75" customHeight="1" x14ac:dyDescent="0.2">
      <c r="F417" s="18"/>
    </row>
    <row r="418" spans="6:6" ht="15.75" customHeight="1" x14ac:dyDescent="0.2">
      <c r="F418" s="18"/>
    </row>
    <row r="419" spans="6:6" ht="15.75" customHeight="1" x14ac:dyDescent="0.2">
      <c r="F419" s="18"/>
    </row>
    <row r="420" spans="6:6" ht="15.75" customHeight="1" x14ac:dyDescent="0.2">
      <c r="F420" s="18"/>
    </row>
    <row r="421" spans="6:6" ht="15.75" customHeight="1" x14ac:dyDescent="0.2">
      <c r="F421" s="18"/>
    </row>
    <row r="422" spans="6:6" ht="15.75" customHeight="1" x14ac:dyDescent="0.2">
      <c r="F422" s="18"/>
    </row>
    <row r="423" spans="6:6" ht="15.75" customHeight="1" x14ac:dyDescent="0.2">
      <c r="F423" s="18"/>
    </row>
    <row r="424" spans="6:6" ht="15.75" customHeight="1" x14ac:dyDescent="0.2">
      <c r="F424" s="18"/>
    </row>
    <row r="425" spans="6:6" ht="15.75" customHeight="1" x14ac:dyDescent="0.2">
      <c r="F425" s="18"/>
    </row>
    <row r="426" spans="6:6" ht="15.75" customHeight="1" x14ac:dyDescent="0.2">
      <c r="F426" s="18"/>
    </row>
    <row r="427" spans="6:6" ht="15.75" customHeight="1" x14ac:dyDescent="0.2">
      <c r="F427" s="18"/>
    </row>
    <row r="428" spans="6:6" ht="15.75" customHeight="1" x14ac:dyDescent="0.2">
      <c r="F428" s="18"/>
    </row>
    <row r="429" spans="6:6" ht="15.75" customHeight="1" x14ac:dyDescent="0.2">
      <c r="F429" s="18"/>
    </row>
    <row r="430" spans="6:6" ht="15.75" customHeight="1" x14ac:dyDescent="0.2">
      <c r="F430" s="18"/>
    </row>
    <row r="431" spans="6:6" ht="15.75" customHeight="1" x14ac:dyDescent="0.2">
      <c r="F431" s="18"/>
    </row>
    <row r="432" spans="6:6" ht="15.75" customHeight="1" x14ac:dyDescent="0.2">
      <c r="F432" s="18"/>
    </row>
    <row r="433" spans="6:6" ht="15.75" customHeight="1" x14ac:dyDescent="0.2">
      <c r="F433" s="18"/>
    </row>
    <row r="434" spans="6:6" ht="15.75" customHeight="1" x14ac:dyDescent="0.2">
      <c r="F434" s="18"/>
    </row>
    <row r="435" spans="6:6" ht="15.75" customHeight="1" x14ac:dyDescent="0.2">
      <c r="F435" s="18"/>
    </row>
    <row r="436" spans="6:6" ht="15.75" customHeight="1" x14ac:dyDescent="0.2">
      <c r="F436" s="18"/>
    </row>
    <row r="437" spans="6:6" ht="15.75" customHeight="1" x14ac:dyDescent="0.2">
      <c r="F437" s="18"/>
    </row>
    <row r="438" spans="6:6" ht="15.75" customHeight="1" x14ac:dyDescent="0.2">
      <c r="F438" s="18"/>
    </row>
    <row r="439" spans="6:6" ht="15.75" customHeight="1" x14ac:dyDescent="0.2">
      <c r="F439" s="18"/>
    </row>
    <row r="440" spans="6:6" ht="15.75" customHeight="1" x14ac:dyDescent="0.2">
      <c r="F440" s="18"/>
    </row>
    <row r="441" spans="6:6" ht="15.75" customHeight="1" x14ac:dyDescent="0.2">
      <c r="F441" s="18"/>
    </row>
    <row r="442" spans="6:6" ht="15.75" customHeight="1" x14ac:dyDescent="0.2">
      <c r="F442" s="18"/>
    </row>
    <row r="443" spans="6:6" ht="15.75" customHeight="1" x14ac:dyDescent="0.2">
      <c r="F443" s="18"/>
    </row>
    <row r="444" spans="6:6" ht="15.75" customHeight="1" x14ac:dyDescent="0.2">
      <c r="F444" s="18"/>
    </row>
    <row r="445" spans="6:6" ht="15.75" customHeight="1" x14ac:dyDescent="0.2">
      <c r="F445" s="18"/>
    </row>
    <row r="446" spans="6:6" ht="15.75" customHeight="1" x14ac:dyDescent="0.2">
      <c r="F446" s="18"/>
    </row>
    <row r="447" spans="6:6" ht="15.75" customHeight="1" x14ac:dyDescent="0.2">
      <c r="F447" s="18"/>
    </row>
    <row r="448" spans="6:6" ht="15.75" customHeight="1" x14ac:dyDescent="0.2">
      <c r="F448" s="18"/>
    </row>
    <row r="449" spans="6:6" ht="15.75" customHeight="1" x14ac:dyDescent="0.2">
      <c r="F449" s="18"/>
    </row>
    <row r="450" spans="6:6" ht="15.75" customHeight="1" x14ac:dyDescent="0.2">
      <c r="F450" s="18"/>
    </row>
    <row r="451" spans="6:6" ht="15.75" customHeight="1" x14ac:dyDescent="0.2">
      <c r="F451" s="18"/>
    </row>
    <row r="452" spans="6:6" ht="15.75" customHeight="1" x14ac:dyDescent="0.2">
      <c r="F452" s="18"/>
    </row>
    <row r="453" spans="6:6" ht="15.75" customHeight="1" x14ac:dyDescent="0.2">
      <c r="F453" s="18"/>
    </row>
    <row r="454" spans="6:6" ht="15.75" customHeight="1" x14ac:dyDescent="0.2">
      <c r="F454" s="18"/>
    </row>
    <row r="455" spans="6:6" ht="15.75" customHeight="1" x14ac:dyDescent="0.2">
      <c r="F455" s="18"/>
    </row>
    <row r="456" spans="6:6" ht="15.75" customHeight="1" x14ac:dyDescent="0.2">
      <c r="F456" s="18"/>
    </row>
    <row r="457" spans="6:6" ht="15.75" customHeight="1" x14ac:dyDescent="0.2">
      <c r="F457" s="18"/>
    </row>
    <row r="458" spans="6:6" ht="15.75" customHeight="1" x14ac:dyDescent="0.2">
      <c r="F458" s="18"/>
    </row>
    <row r="459" spans="6:6" ht="15.75" customHeight="1" x14ac:dyDescent="0.2">
      <c r="F459" s="18"/>
    </row>
    <row r="460" spans="6:6" ht="15.75" customHeight="1" x14ac:dyDescent="0.2">
      <c r="F460" s="18"/>
    </row>
    <row r="461" spans="6:6" ht="15.75" customHeight="1" x14ac:dyDescent="0.2">
      <c r="F461" s="18"/>
    </row>
    <row r="462" spans="6:6" ht="15.75" customHeight="1" x14ac:dyDescent="0.2">
      <c r="F462" s="18"/>
    </row>
    <row r="463" spans="6:6" ht="15.75" customHeight="1" x14ac:dyDescent="0.2">
      <c r="F463" s="18"/>
    </row>
    <row r="464" spans="6:6" ht="15.75" customHeight="1" x14ac:dyDescent="0.2">
      <c r="F464" s="18"/>
    </row>
    <row r="465" spans="6:6" ht="15.75" customHeight="1" x14ac:dyDescent="0.2">
      <c r="F465" s="18"/>
    </row>
    <row r="466" spans="6:6" ht="15.75" customHeight="1" x14ac:dyDescent="0.2">
      <c r="F466" s="18"/>
    </row>
    <row r="467" spans="6:6" ht="15.75" customHeight="1" x14ac:dyDescent="0.2">
      <c r="F467" s="18"/>
    </row>
    <row r="468" spans="6:6" ht="15.75" customHeight="1" x14ac:dyDescent="0.2">
      <c r="F468" s="18"/>
    </row>
    <row r="469" spans="6:6" ht="15.75" customHeight="1" x14ac:dyDescent="0.2">
      <c r="F469" s="18"/>
    </row>
    <row r="470" spans="6:6" ht="15.75" customHeight="1" x14ac:dyDescent="0.2">
      <c r="F470" s="18"/>
    </row>
    <row r="471" spans="6:6" ht="15.75" customHeight="1" x14ac:dyDescent="0.2">
      <c r="F471" s="18"/>
    </row>
    <row r="472" spans="6:6" ht="15.75" customHeight="1" x14ac:dyDescent="0.2">
      <c r="F472" s="18"/>
    </row>
    <row r="473" spans="6:6" ht="15.75" customHeight="1" x14ac:dyDescent="0.2">
      <c r="F473" s="18"/>
    </row>
    <row r="474" spans="6:6" ht="15.75" customHeight="1" x14ac:dyDescent="0.2">
      <c r="F474" s="18"/>
    </row>
    <row r="475" spans="6:6" ht="15.75" customHeight="1" x14ac:dyDescent="0.2">
      <c r="F475" s="18"/>
    </row>
    <row r="476" spans="6:6" ht="15.75" customHeight="1" x14ac:dyDescent="0.2">
      <c r="F476" s="18"/>
    </row>
    <row r="477" spans="6:6" ht="15.75" customHeight="1" x14ac:dyDescent="0.2">
      <c r="F477" s="18"/>
    </row>
    <row r="478" spans="6:6" ht="15.75" customHeight="1" x14ac:dyDescent="0.2">
      <c r="F478" s="18"/>
    </row>
    <row r="479" spans="6:6" ht="15.75" customHeight="1" x14ac:dyDescent="0.2">
      <c r="F479" s="18"/>
    </row>
    <row r="480" spans="6:6" ht="15.75" customHeight="1" x14ac:dyDescent="0.2">
      <c r="F480" s="18"/>
    </row>
    <row r="481" spans="6:6" ht="15.75" customHeight="1" x14ac:dyDescent="0.2">
      <c r="F481" s="18"/>
    </row>
    <row r="482" spans="6:6" ht="15.75" customHeight="1" x14ac:dyDescent="0.2">
      <c r="F482" s="18"/>
    </row>
    <row r="483" spans="6:6" ht="15.75" customHeight="1" x14ac:dyDescent="0.2">
      <c r="F483" s="18"/>
    </row>
    <row r="484" spans="6:6" ht="15.75" customHeight="1" x14ac:dyDescent="0.2">
      <c r="F484" s="18"/>
    </row>
    <row r="485" spans="6:6" ht="15.75" customHeight="1" x14ac:dyDescent="0.2">
      <c r="F485" s="18"/>
    </row>
    <row r="486" spans="6:6" ht="15.75" customHeight="1" x14ac:dyDescent="0.2">
      <c r="F486" s="18"/>
    </row>
    <row r="487" spans="6:6" ht="15.75" customHeight="1" x14ac:dyDescent="0.2">
      <c r="F487" s="18"/>
    </row>
    <row r="488" spans="6:6" ht="15.75" customHeight="1" x14ac:dyDescent="0.2">
      <c r="F488" s="18"/>
    </row>
    <row r="489" spans="6:6" ht="15.75" customHeight="1" x14ac:dyDescent="0.2">
      <c r="F489" s="18"/>
    </row>
    <row r="490" spans="6:6" ht="15.75" customHeight="1" x14ac:dyDescent="0.2">
      <c r="F490" s="18"/>
    </row>
    <row r="491" spans="6:6" ht="15.75" customHeight="1" x14ac:dyDescent="0.2">
      <c r="F491" s="18"/>
    </row>
    <row r="492" spans="6:6" ht="15.75" customHeight="1" x14ac:dyDescent="0.2">
      <c r="F492" s="18"/>
    </row>
    <row r="493" spans="6:6" ht="15.75" customHeight="1" x14ac:dyDescent="0.2">
      <c r="F493" s="18"/>
    </row>
    <row r="494" spans="6:6" ht="15.75" customHeight="1" x14ac:dyDescent="0.2">
      <c r="F494" s="18"/>
    </row>
    <row r="495" spans="6:6" ht="15.75" customHeight="1" x14ac:dyDescent="0.2">
      <c r="F495" s="18"/>
    </row>
    <row r="496" spans="6:6" ht="15.75" customHeight="1" x14ac:dyDescent="0.2">
      <c r="F496" s="18"/>
    </row>
    <row r="497" spans="6:6" ht="15.75" customHeight="1" x14ac:dyDescent="0.2">
      <c r="F497" s="18"/>
    </row>
    <row r="498" spans="6:6" ht="15.75" customHeight="1" x14ac:dyDescent="0.2">
      <c r="F498" s="18"/>
    </row>
    <row r="499" spans="6:6" ht="15.75" customHeight="1" x14ac:dyDescent="0.2">
      <c r="F499" s="18"/>
    </row>
    <row r="500" spans="6:6" ht="15.75" customHeight="1" x14ac:dyDescent="0.2">
      <c r="F500" s="18"/>
    </row>
    <row r="501" spans="6:6" ht="15.75" customHeight="1" x14ac:dyDescent="0.2">
      <c r="F501" s="18"/>
    </row>
    <row r="502" spans="6:6" ht="15.75" customHeight="1" x14ac:dyDescent="0.2">
      <c r="F502" s="18"/>
    </row>
    <row r="503" spans="6:6" ht="15.75" customHeight="1" x14ac:dyDescent="0.2">
      <c r="F503" s="18"/>
    </row>
    <row r="504" spans="6:6" ht="15.75" customHeight="1" x14ac:dyDescent="0.2">
      <c r="F504" s="18"/>
    </row>
    <row r="505" spans="6:6" ht="15.75" customHeight="1" x14ac:dyDescent="0.2">
      <c r="F505" s="18"/>
    </row>
    <row r="506" spans="6:6" ht="15.75" customHeight="1" x14ac:dyDescent="0.2">
      <c r="F506" s="18"/>
    </row>
    <row r="507" spans="6:6" ht="15.75" customHeight="1" x14ac:dyDescent="0.2">
      <c r="F507" s="18"/>
    </row>
    <row r="508" spans="6:6" ht="15.75" customHeight="1" x14ac:dyDescent="0.2">
      <c r="F508" s="18"/>
    </row>
    <row r="509" spans="6:6" ht="15.75" customHeight="1" x14ac:dyDescent="0.2">
      <c r="F509" s="18"/>
    </row>
    <row r="510" spans="6:6" ht="15.75" customHeight="1" x14ac:dyDescent="0.2">
      <c r="F510" s="18"/>
    </row>
    <row r="511" spans="6:6" ht="15.75" customHeight="1" x14ac:dyDescent="0.2">
      <c r="F511" s="18"/>
    </row>
    <row r="512" spans="6:6" ht="15.75" customHeight="1" x14ac:dyDescent="0.2">
      <c r="F512" s="18"/>
    </row>
    <row r="513" spans="6:6" ht="15.75" customHeight="1" x14ac:dyDescent="0.2">
      <c r="F513" s="18"/>
    </row>
    <row r="514" spans="6:6" ht="15.75" customHeight="1" x14ac:dyDescent="0.2">
      <c r="F514" s="18"/>
    </row>
    <row r="515" spans="6:6" ht="15.75" customHeight="1" x14ac:dyDescent="0.2">
      <c r="F515" s="18"/>
    </row>
    <row r="516" spans="6:6" ht="15.75" customHeight="1" x14ac:dyDescent="0.2">
      <c r="F516" s="18"/>
    </row>
    <row r="517" spans="6:6" ht="15.75" customHeight="1" x14ac:dyDescent="0.2">
      <c r="F517" s="18"/>
    </row>
    <row r="518" spans="6:6" ht="15.75" customHeight="1" x14ac:dyDescent="0.2">
      <c r="F518" s="18"/>
    </row>
    <row r="519" spans="6:6" ht="15.75" customHeight="1" x14ac:dyDescent="0.2">
      <c r="F519" s="18"/>
    </row>
    <row r="520" spans="6:6" ht="15.75" customHeight="1" x14ac:dyDescent="0.2">
      <c r="F520" s="18"/>
    </row>
    <row r="521" spans="6:6" ht="15.75" customHeight="1" x14ac:dyDescent="0.2">
      <c r="F521" s="18"/>
    </row>
    <row r="522" spans="6:6" ht="15.75" customHeight="1" x14ac:dyDescent="0.2">
      <c r="F522" s="18"/>
    </row>
    <row r="523" spans="6:6" ht="15.75" customHeight="1" x14ac:dyDescent="0.2">
      <c r="F523" s="18"/>
    </row>
    <row r="524" spans="6:6" ht="15.75" customHeight="1" x14ac:dyDescent="0.2">
      <c r="F524" s="18"/>
    </row>
    <row r="525" spans="6:6" ht="15.75" customHeight="1" x14ac:dyDescent="0.2">
      <c r="F525" s="18"/>
    </row>
    <row r="526" spans="6:6" ht="15.75" customHeight="1" x14ac:dyDescent="0.2">
      <c r="F526" s="18"/>
    </row>
    <row r="527" spans="6:6" ht="15.75" customHeight="1" x14ac:dyDescent="0.2">
      <c r="F527" s="18"/>
    </row>
    <row r="528" spans="6:6" ht="15.75" customHeight="1" x14ac:dyDescent="0.2">
      <c r="F528" s="18"/>
    </row>
    <row r="529" spans="6:6" ht="15.75" customHeight="1" x14ac:dyDescent="0.2">
      <c r="F529" s="18"/>
    </row>
    <row r="530" spans="6:6" ht="15.75" customHeight="1" x14ac:dyDescent="0.2">
      <c r="F530" s="18"/>
    </row>
    <row r="531" spans="6:6" ht="15.75" customHeight="1" x14ac:dyDescent="0.2">
      <c r="F531" s="18"/>
    </row>
    <row r="532" spans="6:6" ht="15.75" customHeight="1" x14ac:dyDescent="0.2">
      <c r="F532" s="18"/>
    </row>
    <row r="533" spans="6:6" ht="15.75" customHeight="1" x14ac:dyDescent="0.2">
      <c r="F533" s="18"/>
    </row>
    <row r="534" spans="6:6" ht="15.75" customHeight="1" x14ac:dyDescent="0.2">
      <c r="F534" s="18"/>
    </row>
    <row r="535" spans="6:6" ht="15.75" customHeight="1" x14ac:dyDescent="0.2">
      <c r="F535" s="18"/>
    </row>
    <row r="536" spans="6:6" ht="15.75" customHeight="1" x14ac:dyDescent="0.2">
      <c r="F536" s="18"/>
    </row>
    <row r="537" spans="6:6" ht="15.75" customHeight="1" x14ac:dyDescent="0.2">
      <c r="F537" s="18"/>
    </row>
    <row r="538" spans="6:6" ht="15.75" customHeight="1" x14ac:dyDescent="0.2">
      <c r="F538" s="18"/>
    </row>
    <row r="539" spans="6:6" ht="15.75" customHeight="1" x14ac:dyDescent="0.2">
      <c r="F539" s="18"/>
    </row>
    <row r="540" spans="6:6" ht="15.75" customHeight="1" x14ac:dyDescent="0.2">
      <c r="F540" s="18"/>
    </row>
    <row r="541" spans="6:6" ht="15.75" customHeight="1" x14ac:dyDescent="0.2">
      <c r="F541" s="18"/>
    </row>
    <row r="542" spans="6:6" ht="15.75" customHeight="1" x14ac:dyDescent="0.2">
      <c r="F542" s="18"/>
    </row>
    <row r="543" spans="6:6" ht="15.75" customHeight="1" x14ac:dyDescent="0.2">
      <c r="F543" s="18"/>
    </row>
    <row r="544" spans="6:6" ht="15.75" customHeight="1" x14ac:dyDescent="0.2">
      <c r="F544" s="18"/>
    </row>
    <row r="545" spans="6:6" ht="15.75" customHeight="1" x14ac:dyDescent="0.2">
      <c r="F545" s="18"/>
    </row>
    <row r="546" spans="6:6" ht="15.75" customHeight="1" x14ac:dyDescent="0.2">
      <c r="F546" s="18"/>
    </row>
    <row r="547" spans="6:6" ht="15.75" customHeight="1" x14ac:dyDescent="0.2">
      <c r="F547" s="18"/>
    </row>
    <row r="548" spans="6:6" ht="15.75" customHeight="1" x14ac:dyDescent="0.2">
      <c r="F548" s="18"/>
    </row>
    <row r="549" spans="6:6" ht="15.75" customHeight="1" x14ac:dyDescent="0.2">
      <c r="F549" s="18"/>
    </row>
    <row r="550" spans="6:6" ht="15.75" customHeight="1" x14ac:dyDescent="0.2">
      <c r="F550" s="18"/>
    </row>
    <row r="551" spans="6:6" ht="15.75" customHeight="1" x14ac:dyDescent="0.2">
      <c r="F551" s="18"/>
    </row>
    <row r="552" spans="6:6" ht="15.75" customHeight="1" x14ac:dyDescent="0.2">
      <c r="F552" s="18"/>
    </row>
    <row r="553" spans="6:6" ht="15.75" customHeight="1" x14ac:dyDescent="0.2">
      <c r="F553" s="18"/>
    </row>
    <row r="554" spans="6:6" ht="15.75" customHeight="1" x14ac:dyDescent="0.2">
      <c r="F554" s="18"/>
    </row>
    <row r="555" spans="6:6" ht="15.75" customHeight="1" x14ac:dyDescent="0.2">
      <c r="F555" s="18"/>
    </row>
    <row r="556" spans="6:6" ht="15.75" customHeight="1" x14ac:dyDescent="0.2">
      <c r="F556" s="18"/>
    </row>
    <row r="557" spans="6:6" ht="15.75" customHeight="1" x14ac:dyDescent="0.2">
      <c r="F557" s="18"/>
    </row>
    <row r="558" spans="6:6" ht="15.75" customHeight="1" x14ac:dyDescent="0.2">
      <c r="F558" s="18"/>
    </row>
    <row r="559" spans="6:6" ht="15.75" customHeight="1" x14ac:dyDescent="0.2">
      <c r="F559" s="18"/>
    </row>
    <row r="560" spans="6:6" ht="15.75" customHeight="1" x14ac:dyDescent="0.2">
      <c r="F560" s="18"/>
    </row>
    <row r="561" spans="6:6" ht="15.75" customHeight="1" x14ac:dyDescent="0.2">
      <c r="F561" s="18"/>
    </row>
    <row r="562" spans="6:6" ht="15.75" customHeight="1" x14ac:dyDescent="0.2">
      <c r="F562" s="18"/>
    </row>
    <row r="563" spans="6:6" ht="15.75" customHeight="1" x14ac:dyDescent="0.2">
      <c r="F563" s="18"/>
    </row>
    <row r="564" spans="6:6" ht="15.75" customHeight="1" x14ac:dyDescent="0.2">
      <c r="F564" s="18"/>
    </row>
    <row r="565" spans="6:6" ht="15.75" customHeight="1" x14ac:dyDescent="0.2">
      <c r="F565" s="18"/>
    </row>
    <row r="566" spans="6:6" ht="15.75" customHeight="1" x14ac:dyDescent="0.2">
      <c r="F566" s="18"/>
    </row>
    <row r="567" spans="6:6" ht="15.75" customHeight="1" x14ac:dyDescent="0.2">
      <c r="F567" s="18"/>
    </row>
    <row r="568" spans="6:6" ht="15.75" customHeight="1" x14ac:dyDescent="0.2">
      <c r="F568" s="18"/>
    </row>
    <row r="569" spans="6:6" ht="15.75" customHeight="1" x14ac:dyDescent="0.2">
      <c r="F569" s="18"/>
    </row>
    <row r="570" spans="6:6" ht="15.75" customHeight="1" x14ac:dyDescent="0.2">
      <c r="F570" s="18"/>
    </row>
    <row r="571" spans="6:6" ht="15.75" customHeight="1" x14ac:dyDescent="0.2">
      <c r="F571" s="18"/>
    </row>
    <row r="572" spans="6:6" ht="15.75" customHeight="1" x14ac:dyDescent="0.2">
      <c r="F572" s="18"/>
    </row>
    <row r="573" spans="6:6" ht="15.75" customHeight="1" x14ac:dyDescent="0.2">
      <c r="F573" s="18"/>
    </row>
    <row r="574" spans="6:6" ht="15.75" customHeight="1" x14ac:dyDescent="0.2">
      <c r="F574" s="18"/>
    </row>
    <row r="575" spans="6:6" ht="15.75" customHeight="1" x14ac:dyDescent="0.2">
      <c r="F575" s="18"/>
    </row>
    <row r="576" spans="6:6" ht="15.75" customHeight="1" x14ac:dyDescent="0.2">
      <c r="F576" s="18"/>
    </row>
    <row r="577" spans="6:6" ht="15.75" customHeight="1" x14ac:dyDescent="0.2">
      <c r="F577" s="18"/>
    </row>
    <row r="578" spans="6:6" ht="15.75" customHeight="1" x14ac:dyDescent="0.2">
      <c r="F578" s="18"/>
    </row>
    <row r="579" spans="6:6" ht="15.75" customHeight="1" x14ac:dyDescent="0.2">
      <c r="F579" s="18"/>
    </row>
    <row r="580" spans="6:6" ht="15.75" customHeight="1" x14ac:dyDescent="0.2">
      <c r="F580" s="18"/>
    </row>
    <row r="581" spans="6:6" ht="15.75" customHeight="1" x14ac:dyDescent="0.2">
      <c r="F581" s="18"/>
    </row>
    <row r="582" spans="6:6" ht="15.75" customHeight="1" x14ac:dyDescent="0.2">
      <c r="F582" s="18"/>
    </row>
    <row r="583" spans="6:6" ht="15.75" customHeight="1" x14ac:dyDescent="0.2">
      <c r="F583" s="18"/>
    </row>
    <row r="584" spans="6:6" ht="15.75" customHeight="1" x14ac:dyDescent="0.2">
      <c r="F584" s="18"/>
    </row>
    <row r="585" spans="6:6" ht="15.75" customHeight="1" x14ac:dyDescent="0.2">
      <c r="F585" s="18"/>
    </row>
    <row r="586" spans="6:6" ht="15.75" customHeight="1" x14ac:dyDescent="0.2">
      <c r="F586" s="18"/>
    </row>
    <row r="587" spans="6:6" ht="15.75" customHeight="1" x14ac:dyDescent="0.2">
      <c r="F587" s="18"/>
    </row>
    <row r="588" spans="6:6" ht="15.75" customHeight="1" x14ac:dyDescent="0.2">
      <c r="F588" s="18"/>
    </row>
    <row r="589" spans="6:6" ht="15.75" customHeight="1" x14ac:dyDescent="0.2">
      <c r="F589" s="18"/>
    </row>
    <row r="590" spans="6:6" ht="15.75" customHeight="1" x14ac:dyDescent="0.2">
      <c r="F590" s="18"/>
    </row>
    <row r="591" spans="6:6" ht="15.75" customHeight="1" x14ac:dyDescent="0.2">
      <c r="F591" s="18"/>
    </row>
    <row r="592" spans="6:6" ht="15.75" customHeight="1" x14ac:dyDescent="0.2">
      <c r="F592" s="18"/>
    </row>
    <row r="593" spans="6:6" ht="15.75" customHeight="1" x14ac:dyDescent="0.2">
      <c r="F593" s="18"/>
    </row>
    <row r="594" spans="6:6" ht="15.75" customHeight="1" x14ac:dyDescent="0.2">
      <c r="F594" s="18"/>
    </row>
    <row r="595" spans="6:6" ht="15.75" customHeight="1" x14ac:dyDescent="0.2">
      <c r="F595" s="18"/>
    </row>
    <row r="596" spans="6:6" ht="15.75" customHeight="1" x14ac:dyDescent="0.2">
      <c r="F596" s="18"/>
    </row>
    <row r="597" spans="6:6" ht="15.75" customHeight="1" x14ac:dyDescent="0.2">
      <c r="F597" s="18"/>
    </row>
    <row r="598" spans="6:6" ht="15.75" customHeight="1" x14ac:dyDescent="0.2">
      <c r="F598" s="18"/>
    </row>
    <row r="599" spans="6:6" ht="15.75" customHeight="1" x14ac:dyDescent="0.2">
      <c r="F599" s="18"/>
    </row>
    <row r="600" spans="6:6" ht="15.75" customHeight="1" x14ac:dyDescent="0.2">
      <c r="F600" s="18"/>
    </row>
    <row r="601" spans="6:6" ht="15.75" customHeight="1" x14ac:dyDescent="0.2">
      <c r="F601" s="18"/>
    </row>
    <row r="602" spans="6:6" ht="15.75" customHeight="1" x14ac:dyDescent="0.2">
      <c r="F602" s="18"/>
    </row>
    <row r="603" spans="6:6" ht="15.75" customHeight="1" x14ac:dyDescent="0.2">
      <c r="F603" s="18"/>
    </row>
    <row r="604" spans="6:6" ht="15.75" customHeight="1" x14ac:dyDescent="0.2">
      <c r="F604" s="18"/>
    </row>
    <row r="605" spans="6:6" ht="15.75" customHeight="1" x14ac:dyDescent="0.2">
      <c r="F605" s="18"/>
    </row>
    <row r="606" spans="6:6" ht="15.75" customHeight="1" x14ac:dyDescent="0.2">
      <c r="F606" s="18"/>
    </row>
    <row r="607" spans="6:6" ht="15.75" customHeight="1" x14ac:dyDescent="0.2">
      <c r="F607" s="18"/>
    </row>
    <row r="608" spans="6:6" ht="15.75" customHeight="1" x14ac:dyDescent="0.2">
      <c r="F608" s="18"/>
    </row>
    <row r="609" spans="6:6" ht="15.75" customHeight="1" x14ac:dyDescent="0.2">
      <c r="F609" s="18"/>
    </row>
    <row r="610" spans="6:6" ht="15.75" customHeight="1" x14ac:dyDescent="0.2">
      <c r="F610" s="18"/>
    </row>
    <row r="611" spans="6:6" ht="15.75" customHeight="1" x14ac:dyDescent="0.2">
      <c r="F611" s="18"/>
    </row>
    <row r="612" spans="6:6" ht="15.75" customHeight="1" x14ac:dyDescent="0.2">
      <c r="F612" s="18"/>
    </row>
    <row r="613" spans="6:6" ht="15.75" customHeight="1" x14ac:dyDescent="0.2">
      <c r="F613" s="18"/>
    </row>
    <row r="614" spans="6:6" ht="15.75" customHeight="1" x14ac:dyDescent="0.2">
      <c r="F614" s="18"/>
    </row>
    <row r="615" spans="6:6" ht="15.75" customHeight="1" x14ac:dyDescent="0.2">
      <c r="F615" s="18"/>
    </row>
    <row r="616" spans="6:6" ht="15.75" customHeight="1" x14ac:dyDescent="0.2">
      <c r="F616" s="18"/>
    </row>
    <row r="617" spans="6:6" ht="15.75" customHeight="1" x14ac:dyDescent="0.2">
      <c r="F617" s="18"/>
    </row>
    <row r="618" spans="6:6" ht="15.75" customHeight="1" x14ac:dyDescent="0.2">
      <c r="F618" s="18"/>
    </row>
    <row r="619" spans="6:6" ht="15.75" customHeight="1" x14ac:dyDescent="0.2">
      <c r="F619" s="18"/>
    </row>
    <row r="620" spans="6:6" ht="15.75" customHeight="1" x14ac:dyDescent="0.2">
      <c r="F620" s="18"/>
    </row>
    <row r="621" spans="6:6" ht="15.75" customHeight="1" x14ac:dyDescent="0.2">
      <c r="F621" s="18"/>
    </row>
    <row r="622" spans="6:6" ht="15.75" customHeight="1" x14ac:dyDescent="0.2">
      <c r="F622" s="18"/>
    </row>
    <row r="623" spans="6:6" ht="15.75" customHeight="1" x14ac:dyDescent="0.2">
      <c r="F623" s="18"/>
    </row>
    <row r="624" spans="6:6" ht="15.75" customHeight="1" x14ac:dyDescent="0.2">
      <c r="F624" s="18"/>
    </row>
    <row r="625" spans="6:6" ht="15.75" customHeight="1" x14ac:dyDescent="0.2">
      <c r="F625" s="18"/>
    </row>
    <row r="626" spans="6:6" ht="15.75" customHeight="1" x14ac:dyDescent="0.2">
      <c r="F626" s="18"/>
    </row>
    <row r="627" spans="6:6" ht="15.75" customHeight="1" x14ac:dyDescent="0.2">
      <c r="F627" s="18"/>
    </row>
    <row r="628" spans="6:6" ht="15.75" customHeight="1" x14ac:dyDescent="0.2">
      <c r="F628" s="18"/>
    </row>
    <row r="629" spans="6:6" ht="15.75" customHeight="1" x14ac:dyDescent="0.2">
      <c r="F629" s="18"/>
    </row>
    <row r="630" spans="6:6" ht="15.75" customHeight="1" x14ac:dyDescent="0.2">
      <c r="F630" s="18"/>
    </row>
    <row r="631" spans="6:6" ht="15.75" customHeight="1" x14ac:dyDescent="0.2">
      <c r="F631" s="18"/>
    </row>
    <row r="632" spans="6:6" ht="15.75" customHeight="1" x14ac:dyDescent="0.2">
      <c r="F632" s="18"/>
    </row>
    <row r="633" spans="6:6" ht="15.75" customHeight="1" x14ac:dyDescent="0.2">
      <c r="F633" s="18"/>
    </row>
    <row r="634" spans="6:6" ht="15.75" customHeight="1" x14ac:dyDescent="0.2">
      <c r="F634" s="18"/>
    </row>
    <row r="635" spans="6:6" ht="15.75" customHeight="1" x14ac:dyDescent="0.2">
      <c r="F635" s="18"/>
    </row>
    <row r="636" spans="6:6" ht="15.75" customHeight="1" x14ac:dyDescent="0.2">
      <c r="F636" s="18"/>
    </row>
    <row r="637" spans="6:6" ht="15.75" customHeight="1" x14ac:dyDescent="0.2">
      <c r="F637" s="18"/>
    </row>
    <row r="638" spans="6:6" ht="15.75" customHeight="1" x14ac:dyDescent="0.2">
      <c r="F638" s="18"/>
    </row>
    <row r="639" spans="6:6" ht="15.75" customHeight="1" x14ac:dyDescent="0.2">
      <c r="F639" s="18"/>
    </row>
    <row r="640" spans="6:6" ht="15.75" customHeight="1" x14ac:dyDescent="0.2">
      <c r="F640" s="18"/>
    </row>
    <row r="641" spans="6:6" ht="15.75" customHeight="1" x14ac:dyDescent="0.2">
      <c r="F641" s="18"/>
    </row>
    <row r="642" spans="6:6" ht="15.75" customHeight="1" x14ac:dyDescent="0.2">
      <c r="F642" s="18"/>
    </row>
    <row r="643" spans="6:6" ht="15.75" customHeight="1" x14ac:dyDescent="0.2">
      <c r="F643" s="18"/>
    </row>
    <row r="644" spans="6:6" ht="15.75" customHeight="1" x14ac:dyDescent="0.2">
      <c r="F644" s="18"/>
    </row>
    <row r="645" spans="6:6" ht="15.75" customHeight="1" x14ac:dyDescent="0.2">
      <c r="F645" s="18"/>
    </row>
    <row r="646" spans="6:6" ht="15.75" customHeight="1" x14ac:dyDescent="0.2">
      <c r="F646" s="18"/>
    </row>
    <row r="647" spans="6:6" ht="15.75" customHeight="1" x14ac:dyDescent="0.2">
      <c r="F647" s="18"/>
    </row>
    <row r="648" spans="6:6" ht="15.75" customHeight="1" x14ac:dyDescent="0.2">
      <c r="F648" s="18"/>
    </row>
    <row r="649" spans="6:6" ht="15.75" customHeight="1" x14ac:dyDescent="0.2">
      <c r="F649" s="18"/>
    </row>
    <row r="650" spans="6:6" ht="15.75" customHeight="1" x14ac:dyDescent="0.2">
      <c r="F650" s="18"/>
    </row>
    <row r="651" spans="6:6" ht="15.75" customHeight="1" x14ac:dyDescent="0.2">
      <c r="F651" s="18"/>
    </row>
    <row r="652" spans="6:6" ht="15.75" customHeight="1" x14ac:dyDescent="0.2">
      <c r="F652" s="18"/>
    </row>
    <row r="653" spans="6:6" ht="15.75" customHeight="1" x14ac:dyDescent="0.2">
      <c r="F653" s="18"/>
    </row>
    <row r="654" spans="6:6" ht="15.75" customHeight="1" x14ac:dyDescent="0.2">
      <c r="F654" s="18"/>
    </row>
    <row r="655" spans="6:6" ht="15.75" customHeight="1" x14ac:dyDescent="0.2">
      <c r="F655" s="18"/>
    </row>
    <row r="656" spans="6:6" ht="15.75" customHeight="1" x14ac:dyDescent="0.2">
      <c r="F656" s="18"/>
    </row>
    <row r="657" spans="6:6" ht="15.75" customHeight="1" x14ac:dyDescent="0.2">
      <c r="F657" s="18"/>
    </row>
    <row r="658" spans="6:6" ht="15.75" customHeight="1" x14ac:dyDescent="0.2">
      <c r="F658" s="18"/>
    </row>
    <row r="659" spans="6:6" ht="15.75" customHeight="1" x14ac:dyDescent="0.2">
      <c r="F659" s="18"/>
    </row>
    <row r="660" spans="6:6" ht="15.75" customHeight="1" x14ac:dyDescent="0.2">
      <c r="F660" s="18"/>
    </row>
    <row r="661" spans="6:6" ht="15.75" customHeight="1" x14ac:dyDescent="0.2">
      <c r="F661" s="18"/>
    </row>
    <row r="662" spans="6:6" ht="15.75" customHeight="1" x14ac:dyDescent="0.2">
      <c r="F662" s="18"/>
    </row>
    <row r="663" spans="6:6" ht="15.75" customHeight="1" x14ac:dyDescent="0.2">
      <c r="F663" s="18"/>
    </row>
    <row r="664" spans="6:6" ht="15.75" customHeight="1" x14ac:dyDescent="0.2">
      <c r="F664" s="18"/>
    </row>
    <row r="665" spans="6:6" ht="15.75" customHeight="1" x14ac:dyDescent="0.2">
      <c r="F665" s="18"/>
    </row>
    <row r="666" spans="6:6" ht="15.75" customHeight="1" x14ac:dyDescent="0.2">
      <c r="F666" s="18"/>
    </row>
    <row r="667" spans="6:6" ht="15.75" customHeight="1" x14ac:dyDescent="0.2">
      <c r="F667" s="18"/>
    </row>
    <row r="668" spans="6:6" ht="15.75" customHeight="1" x14ac:dyDescent="0.2">
      <c r="F668" s="18"/>
    </row>
    <row r="669" spans="6:6" ht="15.75" customHeight="1" x14ac:dyDescent="0.2">
      <c r="F669" s="18"/>
    </row>
    <row r="670" spans="6:6" ht="15.75" customHeight="1" x14ac:dyDescent="0.2">
      <c r="F670" s="18"/>
    </row>
    <row r="671" spans="6:6" ht="15.75" customHeight="1" x14ac:dyDescent="0.2">
      <c r="F671" s="18"/>
    </row>
    <row r="672" spans="6:6" ht="15.75" customHeight="1" x14ac:dyDescent="0.2">
      <c r="F672" s="18"/>
    </row>
    <row r="673" spans="6:6" ht="15.75" customHeight="1" x14ac:dyDescent="0.2">
      <c r="F673" s="18"/>
    </row>
    <row r="674" spans="6:6" ht="15.75" customHeight="1" x14ac:dyDescent="0.2">
      <c r="F674" s="18"/>
    </row>
    <row r="675" spans="6:6" ht="15.75" customHeight="1" x14ac:dyDescent="0.2">
      <c r="F675" s="18"/>
    </row>
    <row r="676" spans="6:6" ht="15.75" customHeight="1" x14ac:dyDescent="0.2">
      <c r="F676" s="18"/>
    </row>
    <row r="677" spans="6:6" ht="15.75" customHeight="1" x14ac:dyDescent="0.2">
      <c r="F677" s="18"/>
    </row>
    <row r="678" spans="6:6" ht="15.75" customHeight="1" x14ac:dyDescent="0.2">
      <c r="F678" s="18"/>
    </row>
    <row r="679" spans="6:6" ht="15.75" customHeight="1" x14ac:dyDescent="0.2">
      <c r="F679" s="18"/>
    </row>
    <row r="680" spans="6:6" ht="15.75" customHeight="1" x14ac:dyDescent="0.2">
      <c r="F680" s="18"/>
    </row>
    <row r="681" spans="6:6" ht="15.75" customHeight="1" x14ac:dyDescent="0.2">
      <c r="F681" s="18"/>
    </row>
    <row r="682" spans="6:6" ht="15.75" customHeight="1" x14ac:dyDescent="0.2">
      <c r="F682" s="18"/>
    </row>
    <row r="683" spans="6:6" ht="15.75" customHeight="1" x14ac:dyDescent="0.2">
      <c r="F683" s="18"/>
    </row>
    <row r="684" spans="6:6" ht="15.75" customHeight="1" x14ac:dyDescent="0.2">
      <c r="F684" s="18"/>
    </row>
    <row r="685" spans="6:6" ht="15.75" customHeight="1" x14ac:dyDescent="0.2">
      <c r="F685" s="18"/>
    </row>
    <row r="686" spans="6:6" ht="15.75" customHeight="1" x14ac:dyDescent="0.2">
      <c r="F686" s="18"/>
    </row>
    <row r="687" spans="6:6" ht="15.75" customHeight="1" x14ac:dyDescent="0.2">
      <c r="F687" s="18"/>
    </row>
    <row r="688" spans="6:6" ht="15.75" customHeight="1" x14ac:dyDescent="0.2">
      <c r="F688" s="18"/>
    </row>
    <row r="689" spans="6:6" ht="15.75" customHeight="1" x14ac:dyDescent="0.2">
      <c r="F689" s="18"/>
    </row>
    <row r="690" spans="6:6" ht="15.75" customHeight="1" x14ac:dyDescent="0.2">
      <c r="F690" s="18"/>
    </row>
    <row r="691" spans="6:6" ht="15.75" customHeight="1" x14ac:dyDescent="0.2">
      <c r="F691" s="18"/>
    </row>
    <row r="692" spans="6:6" ht="15.75" customHeight="1" x14ac:dyDescent="0.2">
      <c r="F692" s="18"/>
    </row>
    <row r="693" spans="6:6" ht="15.75" customHeight="1" x14ac:dyDescent="0.2">
      <c r="F693" s="18"/>
    </row>
    <row r="694" spans="6:6" ht="15.75" customHeight="1" x14ac:dyDescent="0.2">
      <c r="F694" s="18"/>
    </row>
    <row r="695" spans="6:6" ht="15.75" customHeight="1" x14ac:dyDescent="0.2">
      <c r="F695" s="18"/>
    </row>
    <row r="696" spans="6:6" ht="15.75" customHeight="1" x14ac:dyDescent="0.2">
      <c r="F696" s="18"/>
    </row>
    <row r="697" spans="6:6" ht="15.75" customHeight="1" x14ac:dyDescent="0.2">
      <c r="F697" s="18"/>
    </row>
    <row r="698" spans="6:6" ht="15.75" customHeight="1" x14ac:dyDescent="0.2">
      <c r="F698" s="18"/>
    </row>
    <row r="699" spans="6:6" ht="15.75" customHeight="1" x14ac:dyDescent="0.2">
      <c r="F699" s="18"/>
    </row>
    <row r="700" spans="6:6" ht="15.75" customHeight="1" x14ac:dyDescent="0.2">
      <c r="F700" s="18"/>
    </row>
    <row r="701" spans="6:6" ht="15.75" customHeight="1" x14ac:dyDescent="0.2">
      <c r="F701" s="18"/>
    </row>
    <row r="702" spans="6:6" ht="15.75" customHeight="1" x14ac:dyDescent="0.2">
      <c r="F702" s="18"/>
    </row>
    <row r="703" spans="6:6" ht="15.75" customHeight="1" x14ac:dyDescent="0.2">
      <c r="F703" s="18"/>
    </row>
    <row r="704" spans="6:6" ht="15.75" customHeight="1" x14ac:dyDescent="0.2">
      <c r="F704" s="18"/>
    </row>
    <row r="705" spans="6:6" ht="15.75" customHeight="1" x14ac:dyDescent="0.2">
      <c r="F705" s="18"/>
    </row>
    <row r="706" spans="6:6" ht="15.75" customHeight="1" x14ac:dyDescent="0.2">
      <c r="F706" s="18"/>
    </row>
    <row r="707" spans="6:6" ht="15.75" customHeight="1" x14ac:dyDescent="0.2">
      <c r="F707" s="18"/>
    </row>
    <row r="708" spans="6:6" ht="15.75" customHeight="1" x14ac:dyDescent="0.2">
      <c r="F708" s="18"/>
    </row>
    <row r="709" spans="6:6" ht="15.75" customHeight="1" x14ac:dyDescent="0.2">
      <c r="F709" s="18"/>
    </row>
    <row r="710" spans="6:6" ht="15.75" customHeight="1" x14ac:dyDescent="0.2">
      <c r="F710" s="18"/>
    </row>
    <row r="711" spans="6:6" ht="15.75" customHeight="1" x14ac:dyDescent="0.2">
      <c r="F711" s="18"/>
    </row>
    <row r="712" spans="6:6" ht="15.75" customHeight="1" x14ac:dyDescent="0.2">
      <c r="F712" s="18"/>
    </row>
    <row r="713" spans="6:6" ht="15.75" customHeight="1" x14ac:dyDescent="0.2">
      <c r="F713" s="18"/>
    </row>
    <row r="714" spans="6:6" ht="15.75" customHeight="1" x14ac:dyDescent="0.2">
      <c r="F714" s="18"/>
    </row>
    <row r="715" spans="6:6" ht="15.75" customHeight="1" x14ac:dyDescent="0.2">
      <c r="F715" s="18"/>
    </row>
    <row r="716" spans="6:6" ht="15.75" customHeight="1" x14ac:dyDescent="0.2">
      <c r="F716" s="18"/>
    </row>
    <row r="717" spans="6:6" ht="15.75" customHeight="1" x14ac:dyDescent="0.2">
      <c r="F717" s="18"/>
    </row>
    <row r="718" spans="6:6" ht="15.75" customHeight="1" x14ac:dyDescent="0.2">
      <c r="F718" s="18"/>
    </row>
    <row r="719" spans="6:6" ht="15.75" customHeight="1" x14ac:dyDescent="0.2">
      <c r="F719" s="18"/>
    </row>
    <row r="720" spans="6:6" ht="15.75" customHeight="1" x14ac:dyDescent="0.2">
      <c r="F720" s="18"/>
    </row>
    <row r="721" spans="6:6" ht="15.75" customHeight="1" x14ac:dyDescent="0.2">
      <c r="F721" s="18"/>
    </row>
    <row r="722" spans="6:6" ht="15.75" customHeight="1" x14ac:dyDescent="0.2">
      <c r="F722" s="18"/>
    </row>
    <row r="723" spans="6:6" ht="15.75" customHeight="1" x14ac:dyDescent="0.2">
      <c r="F723" s="18"/>
    </row>
    <row r="724" spans="6:6" ht="15.75" customHeight="1" x14ac:dyDescent="0.2">
      <c r="F724" s="18"/>
    </row>
    <row r="725" spans="6:6" ht="15.75" customHeight="1" x14ac:dyDescent="0.2">
      <c r="F725" s="18"/>
    </row>
    <row r="726" spans="6:6" ht="15.75" customHeight="1" x14ac:dyDescent="0.2">
      <c r="F726" s="18"/>
    </row>
    <row r="727" spans="6:6" ht="15.75" customHeight="1" x14ac:dyDescent="0.2">
      <c r="F727" s="18"/>
    </row>
    <row r="728" spans="6:6" ht="15.75" customHeight="1" x14ac:dyDescent="0.2">
      <c r="F728" s="18"/>
    </row>
    <row r="729" spans="6:6" ht="15.75" customHeight="1" x14ac:dyDescent="0.2">
      <c r="F729" s="18"/>
    </row>
    <row r="730" spans="6:6" ht="15.75" customHeight="1" x14ac:dyDescent="0.2">
      <c r="F730" s="18"/>
    </row>
    <row r="731" spans="6:6" ht="15.75" customHeight="1" x14ac:dyDescent="0.2">
      <c r="F731" s="18"/>
    </row>
    <row r="732" spans="6:6" ht="15.75" customHeight="1" x14ac:dyDescent="0.2">
      <c r="F732" s="18"/>
    </row>
    <row r="733" spans="6:6" ht="15.75" customHeight="1" x14ac:dyDescent="0.2">
      <c r="F733" s="18"/>
    </row>
    <row r="734" spans="6:6" ht="15.75" customHeight="1" x14ac:dyDescent="0.2">
      <c r="F734" s="18"/>
    </row>
    <row r="735" spans="6:6" ht="15.75" customHeight="1" x14ac:dyDescent="0.2">
      <c r="F735" s="18"/>
    </row>
    <row r="736" spans="6:6" ht="15.75" customHeight="1" x14ac:dyDescent="0.2">
      <c r="F736" s="18"/>
    </row>
    <row r="737" spans="6:6" ht="15.75" customHeight="1" x14ac:dyDescent="0.2">
      <c r="F737" s="18"/>
    </row>
    <row r="738" spans="6:6" ht="15.75" customHeight="1" x14ac:dyDescent="0.2">
      <c r="F738" s="18"/>
    </row>
    <row r="739" spans="6:6" ht="15.75" customHeight="1" x14ac:dyDescent="0.2">
      <c r="F739" s="18"/>
    </row>
    <row r="740" spans="6:6" ht="15.75" customHeight="1" x14ac:dyDescent="0.2">
      <c r="F740" s="18"/>
    </row>
    <row r="741" spans="6:6" ht="15.75" customHeight="1" x14ac:dyDescent="0.2">
      <c r="F741" s="18"/>
    </row>
    <row r="742" spans="6:6" ht="15.75" customHeight="1" x14ac:dyDescent="0.2">
      <c r="F742" s="18"/>
    </row>
    <row r="743" spans="6:6" ht="15.75" customHeight="1" x14ac:dyDescent="0.2">
      <c r="F743" s="18"/>
    </row>
    <row r="744" spans="6:6" ht="15.75" customHeight="1" x14ac:dyDescent="0.2">
      <c r="F744" s="18"/>
    </row>
    <row r="745" spans="6:6" ht="15.75" customHeight="1" x14ac:dyDescent="0.2">
      <c r="F745" s="18"/>
    </row>
    <row r="746" spans="6:6" ht="15.75" customHeight="1" x14ac:dyDescent="0.2">
      <c r="F746" s="18"/>
    </row>
    <row r="747" spans="6:6" ht="15.75" customHeight="1" x14ac:dyDescent="0.2">
      <c r="F747" s="18"/>
    </row>
    <row r="748" spans="6:6" ht="15.75" customHeight="1" x14ac:dyDescent="0.2">
      <c r="F748" s="18"/>
    </row>
    <row r="749" spans="6:6" ht="15.75" customHeight="1" x14ac:dyDescent="0.2">
      <c r="F749" s="18"/>
    </row>
    <row r="750" spans="6:6" ht="15.75" customHeight="1" x14ac:dyDescent="0.2">
      <c r="F750" s="18"/>
    </row>
    <row r="751" spans="6:6" ht="15.75" customHeight="1" x14ac:dyDescent="0.2">
      <c r="F751" s="18"/>
    </row>
    <row r="752" spans="6:6" ht="15.75" customHeight="1" x14ac:dyDescent="0.2">
      <c r="F752" s="18"/>
    </row>
    <row r="753" spans="6:6" ht="15.75" customHeight="1" x14ac:dyDescent="0.2">
      <c r="F753" s="18"/>
    </row>
    <row r="754" spans="6:6" ht="15.75" customHeight="1" x14ac:dyDescent="0.2">
      <c r="F754" s="18"/>
    </row>
    <row r="755" spans="6:6" ht="15.75" customHeight="1" x14ac:dyDescent="0.2">
      <c r="F755" s="18"/>
    </row>
    <row r="756" spans="6:6" ht="15.75" customHeight="1" x14ac:dyDescent="0.2">
      <c r="F756" s="18"/>
    </row>
    <row r="757" spans="6:6" ht="15.75" customHeight="1" x14ac:dyDescent="0.2">
      <c r="F757" s="18"/>
    </row>
    <row r="758" spans="6:6" ht="15.75" customHeight="1" x14ac:dyDescent="0.2">
      <c r="F758" s="18"/>
    </row>
    <row r="759" spans="6:6" ht="15.75" customHeight="1" x14ac:dyDescent="0.2">
      <c r="F759" s="18"/>
    </row>
    <row r="760" spans="6:6" ht="15.75" customHeight="1" x14ac:dyDescent="0.2">
      <c r="F760" s="18"/>
    </row>
    <row r="761" spans="6:6" ht="15.75" customHeight="1" x14ac:dyDescent="0.2">
      <c r="F761" s="18"/>
    </row>
    <row r="762" spans="6:6" ht="15.75" customHeight="1" x14ac:dyDescent="0.2">
      <c r="F762" s="18"/>
    </row>
    <row r="763" spans="6:6" ht="15.75" customHeight="1" x14ac:dyDescent="0.2">
      <c r="F763" s="18"/>
    </row>
    <row r="764" spans="6:6" ht="15.75" customHeight="1" x14ac:dyDescent="0.2">
      <c r="F764" s="18"/>
    </row>
    <row r="765" spans="6:6" ht="15.75" customHeight="1" x14ac:dyDescent="0.2">
      <c r="F765" s="18"/>
    </row>
    <row r="766" spans="6:6" ht="15.75" customHeight="1" x14ac:dyDescent="0.2">
      <c r="F766" s="18"/>
    </row>
    <row r="767" spans="6:6" ht="15.75" customHeight="1" x14ac:dyDescent="0.2">
      <c r="F767" s="18"/>
    </row>
    <row r="768" spans="6:6" ht="15.75" customHeight="1" x14ac:dyDescent="0.2">
      <c r="F768" s="18"/>
    </row>
    <row r="769" spans="6:6" ht="15.75" customHeight="1" x14ac:dyDescent="0.2">
      <c r="F769" s="18"/>
    </row>
    <row r="770" spans="6:6" ht="15.75" customHeight="1" x14ac:dyDescent="0.2">
      <c r="F770" s="18"/>
    </row>
    <row r="771" spans="6:6" ht="15.75" customHeight="1" x14ac:dyDescent="0.2">
      <c r="F771" s="18"/>
    </row>
    <row r="772" spans="6:6" ht="15.75" customHeight="1" x14ac:dyDescent="0.2">
      <c r="F772" s="18"/>
    </row>
    <row r="773" spans="6:6" ht="15.75" customHeight="1" x14ac:dyDescent="0.2">
      <c r="F773" s="18"/>
    </row>
    <row r="774" spans="6:6" ht="15.75" customHeight="1" x14ac:dyDescent="0.2">
      <c r="F774" s="18"/>
    </row>
    <row r="775" spans="6:6" ht="15.75" customHeight="1" x14ac:dyDescent="0.2">
      <c r="F775" s="18"/>
    </row>
    <row r="776" spans="6:6" ht="15.75" customHeight="1" x14ac:dyDescent="0.2">
      <c r="F776" s="18"/>
    </row>
    <row r="777" spans="6:6" ht="15.75" customHeight="1" x14ac:dyDescent="0.2">
      <c r="F777" s="18"/>
    </row>
    <row r="778" spans="6:6" ht="15.75" customHeight="1" x14ac:dyDescent="0.2">
      <c r="F778" s="18"/>
    </row>
    <row r="779" spans="6:6" ht="15.75" customHeight="1" x14ac:dyDescent="0.2">
      <c r="F779" s="18"/>
    </row>
    <row r="780" spans="6:6" ht="15.75" customHeight="1" x14ac:dyDescent="0.2">
      <c r="F780" s="18"/>
    </row>
    <row r="781" spans="6:6" ht="15.75" customHeight="1" x14ac:dyDescent="0.2">
      <c r="F781" s="18"/>
    </row>
    <row r="782" spans="6:6" ht="15.75" customHeight="1" x14ac:dyDescent="0.2">
      <c r="F782" s="18"/>
    </row>
    <row r="783" spans="6:6" ht="15.75" customHeight="1" x14ac:dyDescent="0.2">
      <c r="F783" s="18"/>
    </row>
    <row r="784" spans="6:6" ht="15.75" customHeight="1" x14ac:dyDescent="0.2">
      <c r="F784" s="18"/>
    </row>
    <row r="785" spans="6:6" ht="15.75" customHeight="1" x14ac:dyDescent="0.2">
      <c r="F785" s="18"/>
    </row>
    <row r="786" spans="6:6" ht="15.75" customHeight="1" x14ac:dyDescent="0.2">
      <c r="F786" s="18"/>
    </row>
    <row r="787" spans="6:6" ht="15.75" customHeight="1" x14ac:dyDescent="0.2">
      <c r="F787" s="18"/>
    </row>
    <row r="788" spans="6:6" ht="15.75" customHeight="1" x14ac:dyDescent="0.2">
      <c r="F788" s="18"/>
    </row>
    <row r="789" spans="6:6" ht="15.75" customHeight="1" x14ac:dyDescent="0.2">
      <c r="F789" s="18"/>
    </row>
    <row r="790" spans="6:6" ht="15.75" customHeight="1" x14ac:dyDescent="0.2">
      <c r="F790" s="18"/>
    </row>
    <row r="791" spans="6:6" ht="15.75" customHeight="1" x14ac:dyDescent="0.2">
      <c r="F791" s="18"/>
    </row>
    <row r="792" spans="6:6" ht="15.75" customHeight="1" x14ac:dyDescent="0.2">
      <c r="F792" s="18"/>
    </row>
    <row r="793" spans="6:6" ht="15.75" customHeight="1" x14ac:dyDescent="0.2">
      <c r="F793" s="18"/>
    </row>
    <row r="794" spans="6:6" ht="15.75" customHeight="1" x14ac:dyDescent="0.2">
      <c r="F794" s="18"/>
    </row>
    <row r="795" spans="6:6" ht="15.75" customHeight="1" x14ac:dyDescent="0.2">
      <c r="F795" s="18"/>
    </row>
    <row r="796" spans="6:6" ht="15.75" customHeight="1" x14ac:dyDescent="0.2">
      <c r="F796" s="18"/>
    </row>
    <row r="797" spans="6:6" ht="15.75" customHeight="1" x14ac:dyDescent="0.2">
      <c r="F797" s="18"/>
    </row>
    <row r="798" spans="6:6" ht="15.75" customHeight="1" x14ac:dyDescent="0.2">
      <c r="F798" s="18"/>
    </row>
    <row r="799" spans="6:6" ht="15.75" customHeight="1" x14ac:dyDescent="0.2">
      <c r="F799" s="18"/>
    </row>
    <row r="800" spans="6:6" ht="15.75" customHeight="1" x14ac:dyDescent="0.2">
      <c r="F800" s="18"/>
    </row>
    <row r="801" spans="6:6" ht="15.75" customHeight="1" x14ac:dyDescent="0.2">
      <c r="F801" s="18"/>
    </row>
    <row r="802" spans="6:6" ht="15.75" customHeight="1" x14ac:dyDescent="0.2">
      <c r="F802" s="18"/>
    </row>
    <row r="803" spans="6:6" ht="15.75" customHeight="1" x14ac:dyDescent="0.2">
      <c r="F803" s="18"/>
    </row>
    <row r="804" spans="6:6" ht="15.75" customHeight="1" x14ac:dyDescent="0.2">
      <c r="F804" s="18"/>
    </row>
    <row r="805" spans="6:6" ht="15.75" customHeight="1" x14ac:dyDescent="0.2">
      <c r="F805" s="18"/>
    </row>
    <row r="806" spans="6:6" ht="15.75" customHeight="1" x14ac:dyDescent="0.2">
      <c r="F806" s="18"/>
    </row>
    <row r="807" spans="6:6" ht="15.75" customHeight="1" x14ac:dyDescent="0.2">
      <c r="F807" s="18"/>
    </row>
    <row r="808" spans="6:6" ht="15.75" customHeight="1" x14ac:dyDescent="0.2">
      <c r="F808" s="18"/>
    </row>
    <row r="809" spans="6:6" ht="15.75" customHeight="1" x14ac:dyDescent="0.2">
      <c r="F809" s="18"/>
    </row>
    <row r="810" spans="6:6" ht="15.75" customHeight="1" x14ac:dyDescent="0.2">
      <c r="F810" s="18"/>
    </row>
    <row r="811" spans="6:6" ht="15.75" customHeight="1" x14ac:dyDescent="0.2">
      <c r="F811" s="18"/>
    </row>
    <row r="812" spans="6:6" ht="15.75" customHeight="1" x14ac:dyDescent="0.2">
      <c r="F812" s="18"/>
    </row>
    <row r="813" spans="6:6" ht="15.75" customHeight="1" x14ac:dyDescent="0.2">
      <c r="F813" s="18"/>
    </row>
    <row r="814" spans="6:6" ht="15.75" customHeight="1" x14ac:dyDescent="0.2">
      <c r="F814" s="18"/>
    </row>
    <row r="815" spans="6:6" ht="15.75" customHeight="1" x14ac:dyDescent="0.2">
      <c r="F815" s="18"/>
    </row>
    <row r="816" spans="6:6" ht="15.75" customHeight="1" x14ac:dyDescent="0.2">
      <c r="F816" s="18"/>
    </row>
    <row r="817" spans="6:6" ht="15.75" customHeight="1" x14ac:dyDescent="0.2">
      <c r="F817" s="18"/>
    </row>
    <row r="818" spans="6:6" ht="15.75" customHeight="1" x14ac:dyDescent="0.2">
      <c r="F818" s="18"/>
    </row>
    <row r="819" spans="6:6" ht="15.75" customHeight="1" x14ac:dyDescent="0.2">
      <c r="F819" s="18"/>
    </row>
    <row r="820" spans="6:6" ht="15.75" customHeight="1" x14ac:dyDescent="0.2">
      <c r="F820" s="18"/>
    </row>
    <row r="821" spans="6:6" ht="15.75" customHeight="1" x14ac:dyDescent="0.2">
      <c r="F821" s="18"/>
    </row>
    <row r="822" spans="6:6" ht="15.75" customHeight="1" x14ac:dyDescent="0.2">
      <c r="F822" s="18"/>
    </row>
    <row r="823" spans="6:6" ht="15.75" customHeight="1" x14ac:dyDescent="0.2">
      <c r="F823" s="18"/>
    </row>
    <row r="824" spans="6:6" ht="15.75" customHeight="1" x14ac:dyDescent="0.2">
      <c r="F824" s="18"/>
    </row>
    <row r="825" spans="6:6" ht="15.75" customHeight="1" x14ac:dyDescent="0.2">
      <c r="F825" s="18"/>
    </row>
    <row r="826" spans="6:6" ht="15.75" customHeight="1" x14ac:dyDescent="0.2">
      <c r="F826" s="18"/>
    </row>
    <row r="827" spans="6:6" ht="15.75" customHeight="1" x14ac:dyDescent="0.2">
      <c r="F827" s="18"/>
    </row>
    <row r="828" spans="6:6" ht="15.75" customHeight="1" x14ac:dyDescent="0.2">
      <c r="F828" s="18"/>
    </row>
    <row r="829" spans="6:6" ht="15.75" customHeight="1" x14ac:dyDescent="0.2">
      <c r="F829" s="18"/>
    </row>
    <row r="830" spans="6:6" ht="15.75" customHeight="1" x14ac:dyDescent="0.2">
      <c r="F830" s="18"/>
    </row>
    <row r="831" spans="6:6" ht="15.75" customHeight="1" x14ac:dyDescent="0.2">
      <c r="F831" s="18"/>
    </row>
    <row r="832" spans="6:6" ht="15.75" customHeight="1" x14ac:dyDescent="0.2">
      <c r="F832" s="18"/>
    </row>
    <row r="833" spans="6:6" ht="15.75" customHeight="1" x14ac:dyDescent="0.2">
      <c r="F833" s="18"/>
    </row>
    <row r="834" spans="6:6" ht="15.75" customHeight="1" x14ac:dyDescent="0.2">
      <c r="F834" s="18"/>
    </row>
    <row r="835" spans="6:6" ht="15.75" customHeight="1" x14ac:dyDescent="0.2">
      <c r="F835" s="18"/>
    </row>
    <row r="836" spans="6:6" ht="15.75" customHeight="1" x14ac:dyDescent="0.2">
      <c r="F836" s="18"/>
    </row>
    <row r="837" spans="6:6" ht="15.75" customHeight="1" x14ac:dyDescent="0.2">
      <c r="F837" s="18"/>
    </row>
    <row r="838" spans="6:6" ht="15.75" customHeight="1" x14ac:dyDescent="0.2">
      <c r="F838" s="18"/>
    </row>
    <row r="839" spans="6:6" ht="15.75" customHeight="1" x14ac:dyDescent="0.2">
      <c r="F839" s="18"/>
    </row>
    <row r="840" spans="6:6" ht="15.75" customHeight="1" x14ac:dyDescent="0.2">
      <c r="F840" s="18"/>
    </row>
    <row r="841" spans="6:6" ht="15.75" customHeight="1" x14ac:dyDescent="0.2">
      <c r="F841" s="18"/>
    </row>
    <row r="842" spans="6:6" ht="15.75" customHeight="1" x14ac:dyDescent="0.2">
      <c r="F842" s="18"/>
    </row>
    <row r="843" spans="6:6" ht="15.75" customHeight="1" x14ac:dyDescent="0.2">
      <c r="F843" s="18"/>
    </row>
    <row r="844" spans="6:6" ht="15.75" customHeight="1" x14ac:dyDescent="0.2">
      <c r="F844" s="18"/>
    </row>
    <row r="845" spans="6:6" ht="15.75" customHeight="1" x14ac:dyDescent="0.2">
      <c r="F845" s="18"/>
    </row>
    <row r="846" spans="6:6" ht="15.75" customHeight="1" x14ac:dyDescent="0.2">
      <c r="F846" s="18"/>
    </row>
    <row r="847" spans="6:6" ht="15.75" customHeight="1" x14ac:dyDescent="0.2">
      <c r="F847" s="18"/>
    </row>
    <row r="848" spans="6:6" ht="15.75" customHeight="1" x14ac:dyDescent="0.2">
      <c r="F848" s="18"/>
    </row>
    <row r="849" spans="6:6" ht="15.75" customHeight="1" x14ac:dyDescent="0.2">
      <c r="F849" s="18"/>
    </row>
    <row r="850" spans="6:6" ht="15.75" customHeight="1" x14ac:dyDescent="0.2">
      <c r="F850" s="18"/>
    </row>
    <row r="851" spans="6:6" ht="15.75" customHeight="1" x14ac:dyDescent="0.2">
      <c r="F851" s="18"/>
    </row>
    <row r="852" spans="6:6" ht="15.75" customHeight="1" x14ac:dyDescent="0.2">
      <c r="F852" s="18"/>
    </row>
    <row r="853" spans="6:6" ht="15.75" customHeight="1" x14ac:dyDescent="0.2">
      <c r="F853" s="18"/>
    </row>
    <row r="854" spans="6:6" ht="15.75" customHeight="1" x14ac:dyDescent="0.2">
      <c r="F854" s="18"/>
    </row>
    <row r="855" spans="6:6" ht="15.75" customHeight="1" x14ac:dyDescent="0.2">
      <c r="F855" s="18"/>
    </row>
    <row r="856" spans="6:6" ht="15.75" customHeight="1" x14ac:dyDescent="0.2">
      <c r="F856" s="18"/>
    </row>
    <row r="857" spans="6:6" ht="15.75" customHeight="1" x14ac:dyDescent="0.2">
      <c r="F857" s="18"/>
    </row>
    <row r="858" spans="6:6" ht="15.75" customHeight="1" x14ac:dyDescent="0.2">
      <c r="F858" s="18"/>
    </row>
    <row r="859" spans="6:6" ht="15.75" customHeight="1" x14ac:dyDescent="0.2">
      <c r="F859" s="18"/>
    </row>
    <row r="860" spans="6:6" ht="15.75" customHeight="1" x14ac:dyDescent="0.2">
      <c r="F860" s="18"/>
    </row>
    <row r="861" spans="6:6" ht="15.75" customHeight="1" x14ac:dyDescent="0.2">
      <c r="F861" s="18"/>
    </row>
    <row r="862" spans="6:6" ht="15.75" customHeight="1" x14ac:dyDescent="0.2">
      <c r="F862" s="18"/>
    </row>
    <row r="863" spans="6:6" ht="15.75" customHeight="1" x14ac:dyDescent="0.2">
      <c r="F863" s="18"/>
    </row>
    <row r="864" spans="6:6" ht="15.75" customHeight="1" x14ac:dyDescent="0.2">
      <c r="F864" s="18"/>
    </row>
    <row r="865" spans="6:6" ht="15.75" customHeight="1" x14ac:dyDescent="0.2">
      <c r="F865" s="18"/>
    </row>
    <row r="866" spans="6:6" ht="15.75" customHeight="1" x14ac:dyDescent="0.2">
      <c r="F866" s="18"/>
    </row>
    <row r="867" spans="6:6" ht="15.75" customHeight="1" x14ac:dyDescent="0.2">
      <c r="F867" s="18"/>
    </row>
    <row r="868" spans="6:6" ht="15.75" customHeight="1" x14ac:dyDescent="0.2">
      <c r="F868" s="18"/>
    </row>
    <row r="869" spans="6:6" ht="15.75" customHeight="1" x14ac:dyDescent="0.2">
      <c r="F869" s="18"/>
    </row>
    <row r="870" spans="6:6" ht="15.75" customHeight="1" x14ac:dyDescent="0.2">
      <c r="F870" s="18"/>
    </row>
    <row r="871" spans="6:6" ht="15.75" customHeight="1" x14ac:dyDescent="0.2">
      <c r="F871" s="18"/>
    </row>
    <row r="872" spans="6:6" ht="15.75" customHeight="1" x14ac:dyDescent="0.2">
      <c r="F872" s="18"/>
    </row>
    <row r="873" spans="6:6" ht="15.75" customHeight="1" x14ac:dyDescent="0.2">
      <c r="F873" s="18"/>
    </row>
    <row r="874" spans="6:6" ht="15.75" customHeight="1" x14ac:dyDescent="0.2">
      <c r="F874" s="18"/>
    </row>
    <row r="875" spans="6:6" ht="15.75" customHeight="1" x14ac:dyDescent="0.2">
      <c r="F875" s="18"/>
    </row>
    <row r="876" spans="6:6" ht="15.75" customHeight="1" x14ac:dyDescent="0.2">
      <c r="F876" s="18"/>
    </row>
    <row r="877" spans="6:6" ht="15.75" customHeight="1" x14ac:dyDescent="0.2">
      <c r="F877" s="18"/>
    </row>
    <row r="878" spans="6:6" ht="15.75" customHeight="1" x14ac:dyDescent="0.2">
      <c r="F878" s="18"/>
    </row>
    <row r="879" spans="6:6" ht="15.75" customHeight="1" x14ac:dyDescent="0.2">
      <c r="F879" s="18"/>
    </row>
    <row r="880" spans="6:6" ht="15.75" customHeight="1" x14ac:dyDescent="0.2">
      <c r="F880" s="18"/>
    </row>
    <row r="881" spans="6:6" ht="15.75" customHeight="1" x14ac:dyDescent="0.2">
      <c r="F881" s="18"/>
    </row>
    <row r="882" spans="6:6" ht="15.75" customHeight="1" x14ac:dyDescent="0.2">
      <c r="F882" s="18"/>
    </row>
    <row r="883" spans="6:6" ht="15.75" customHeight="1" x14ac:dyDescent="0.2">
      <c r="F883" s="18"/>
    </row>
    <row r="884" spans="6:6" ht="15.75" customHeight="1" x14ac:dyDescent="0.2">
      <c r="F884" s="18"/>
    </row>
    <row r="885" spans="6:6" ht="15.75" customHeight="1" x14ac:dyDescent="0.2">
      <c r="F885" s="18"/>
    </row>
    <row r="886" spans="6:6" ht="15.75" customHeight="1" x14ac:dyDescent="0.2">
      <c r="F886" s="18"/>
    </row>
    <row r="887" spans="6:6" ht="15.75" customHeight="1" x14ac:dyDescent="0.2">
      <c r="F887" s="18"/>
    </row>
    <row r="888" spans="6:6" ht="15.75" customHeight="1" x14ac:dyDescent="0.2">
      <c r="F888" s="18"/>
    </row>
    <row r="889" spans="6:6" ht="15.75" customHeight="1" x14ac:dyDescent="0.2">
      <c r="F889" s="18"/>
    </row>
    <row r="890" spans="6:6" ht="15.75" customHeight="1" x14ac:dyDescent="0.2">
      <c r="F890" s="18"/>
    </row>
    <row r="891" spans="6:6" ht="15.75" customHeight="1" x14ac:dyDescent="0.2">
      <c r="F891" s="18"/>
    </row>
    <row r="892" spans="6:6" ht="15.75" customHeight="1" x14ac:dyDescent="0.2">
      <c r="F892" s="18"/>
    </row>
    <row r="893" spans="6:6" ht="15.75" customHeight="1" x14ac:dyDescent="0.2">
      <c r="F893" s="18"/>
    </row>
    <row r="894" spans="6:6" ht="15.75" customHeight="1" x14ac:dyDescent="0.2">
      <c r="F894" s="18"/>
    </row>
    <row r="895" spans="6:6" ht="15.75" customHeight="1" x14ac:dyDescent="0.2">
      <c r="F895" s="18"/>
    </row>
    <row r="896" spans="6:6" ht="15.75" customHeight="1" x14ac:dyDescent="0.2">
      <c r="F896" s="18"/>
    </row>
    <row r="897" spans="6:6" ht="15.75" customHeight="1" x14ac:dyDescent="0.2">
      <c r="F897" s="18"/>
    </row>
    <row r="898" spans="6:6" ht="15.75" customHeight="1" x14ac:dyDescent="0.2">
      <c r="F898" s="18"/>
    </row>
    <row r="899" spans="6:6" ht="15.75" customHeight="1" x14ac:dyDescent="0.2">
      <c r="F899" s="18"/>
    </row>
    <row r="900" spans="6:6" ht="15.75" customHeight="1" x14ac:dyDescent="0.2">
      <c r="F900" s="18"/>
    </row>
    <row r="901" spans="6:6" ht="15.75" customHeight="1" x14ac:dyDescent="0.2">
      <c r="F901" s="18"/>
    </row>
    <row r="902" spans="6:6" ht="15.75" customHeight="1" x14ac:dyDescent="0.2">
      <c r="F902" s="18"/>
    </row>
    <row r="903" spans="6:6" ht="15.75" customHeight="1" x14ac:dyDescent="0.2">
      <c r="F903" s="18"/>
    </row>
    <row r="904" spans="6:6" ht="15.75" customHeight="1" x14ac:dyDescent="0.2">
      <c r="F904" s="18"/>
    </row>
    <row r="905" spans="6:6" ht="15.75" customHeight="1" x14ac:dyDescent="0.2">
      <c r="F905" s="18"/>
    </row>
    <row r="906" spans="6:6" ht="15.75" customHeight="1" x14ac:dyDescent="0.2">
      <c r="F906" s="18"/>
    </row>
    <row r="907" spans="6:6" ht="15.75" customHeight="1" x14ac:dyDescent="0.2">
      <c r="F907" s="18"/>
    </row>
    <row r="908" spans="6:6" ht="15.75" customHeight="1" x14ac:dyDescent="0.2">
      <c r="F908" s="18"/>
    </row>
    <row r="909" spans="6:6" ht="15.75" customHeight="1" x14ac:dyDescent="0.2">
      <c r="F909" s="18"/>
    </row>
    <row r="910" spans="6:6" ht="15.75" customHeight="1" x14ac:dyDescent="0.2">
      <c r="F910" s="18"/>
    </row>
    <row r="911" spans="6:6" ht="15.75" customHeight="1" x14ac:dyDescent="0.2">
      <c r="F911" s="18"/>
    </row>
    <row r="912" spans="6:6" ht="15.75" customHeight="1" x14ac:dyDescent="0.2">
      <c r="F912" s="18"/>
    </row>
    <row r="913" spans="6:6" ht="15.75" customHeight="1" x14ac:dyDescent="0.2">
      <c r="F913" s="18"/>
    </row>
    <row r="914" spans="6:6" ht="15.75" customHeight="1" x14ac:dyDescent="0.2">
      <c r="F914" s="18"/>
    </row>
    <row r="915" spans="6:6" ht="15.75" customHeight="1" x14ac:dyDescent="0.2">
      <c r="F915" s="18"/>
    </row>
    <row r="916" spans="6:6" ht="15.75" customHeight="1" x14ac:dyDescent="0.2">
      <c r="F916" s="18"/>
    </row>
    <row r="917" spans="6:6" ht="15.75" customHeight="1" x14ac:dyDescent="0.2">
      <c r="F917" s="18"/>
    </row>
    <row r="918" spans="6:6" ht="15.75" customHeight="1" x14ac:dyDescent="0.2">
      <c r="F918" s="18"/>
    </row>
    <row r="919" spans="6:6" ht="15.75" customHeight="1" x14ac:dyDescent="0.2">
      <c r="F919" s="18"/>
    </row>
    <row r="920" spans="6:6" ht="15.75" customHeight="1" x14ac:dyDescent="0.2">
      <c r="F920" s="18"/>
    </row>
    <row r="921" spans="6:6" ht="15.75" customHeight="1" x14ac:dyDescent="0.2">
      <c r="F921" s="18"/>
    </row>
    <row r="922" spans="6:6" ht="15.75" customHeight="1" x14ac:dyDescent="0.2">
      <c r="F922" s="18"/>
    </row>
    <row r="923" spans="6:6" ht="15.75" customHeight="1" x14ac:dyDescent="0.2">
      <c r="F923" s="18"/>
    </row>
    <row r="924" spans="6:6" ht="15.75" customHeight="1" x14ac:dyDescent="0.2">
      <c r="F924" s="18"/>
    </row>
    <row r="925" spans="6:6" ht="15.75" customHeight="1" x14ac:dyDescent="0.2">
      <c r="F925" s="18"/>
    </row>
    <row r="926" spans="6:6" ht="15.75" customHeight="1" x14ac:dyDescent="0.2">
      <c r="F926" s="18"/>
    </row>
    <row r="927" spans="6:6" ht="15.75" customHeight="1" x14ac:dyDescent="0.2">
      <c r="F927" s="18"/>
    </row>
    <row r="928" spans="6:6" ht="15.75" customHeight="1" x14ac:dyDescent="0.2">
      <c r="F928" s="18"/>
    </row>
    <row r="929" spans="6:6" ht="15.75" customHeight="1" x14ac:dyDescent="0.2">
      <c r="F929" s="18"/>
    </row>
    <row r="930" spans="6:6" ht="15.75" customHeight="1" x14ac:dyDescent="0.2">
      <c r="F930" s="18"/>
    </row>
    <row r="931" spans="6:6" ht="15.75" customHeight="1" x14ac:dyDescent="0.2">
      <c r="F931" s="18"/>
    </row>
    <row r="932" spans="6:6" ht="15.75" customHeight="1" x14ac:dyDescent="0.2">
      <c r="F932" s="18"/>
    </row>
    <row r="933" spans="6:6" ht="15.75" customHeight="1" x14ac:dyDescent="0.2">
      <c r="F933" s="18"/>
    </row>
    <row r="934" spans="6:6" ht="15.75" customHeight="1" x14ac:dyDescent="0.2">
      <c r="F934" s="18"/>
    </row>
    <row r="935" spans="6:6" ht="15.75" customHeight="1" x14ac:dyDescent="0.2">
      <c r="F935" s="18"/>
    </row>
    <row r="936" spans="6:6" ht="15.75" customHeight="1" x14ac:dyDescent="0.2">
      <c r="F936" s="18"/>
    </row>
    <row r="937" spans="6:6" ht="15.75" customHeight="1" x14ac:dyDescent="0.2">
      <c r="F937" s="18"/>
    </row>
    <row r="938" spans="6:6" ht="15.75" customHeight="1" x14ac:dyDescent="0.2">
      <c r="F938" s="18"/>
    </row>
    <row r="939" spans="6:6" ht="15.75" customHeight="1" x14ac:dyDescent="0.2">
      <c r="F939" s="18"/>
    </row>
    <row r="940" spans="6:6" ht="15.75" customHeight="1" x14ac:dyDescent="0.2">
      <c r="F940" s="18"/>
    </row>
    <row r="941" spans="6:6" ht="15.75" customHeight="1" x14ac:dyDescent="0.2">
      <c r="F941" s="18"/>
    </row>
    <row r="942" spans="6:6" ht="15.75" customHeight="1" x14ac:dyDescent="0.2">
      <c r="F942" s="18"/>
    </row>
    <row r="943" spans="6:6" ht="15.75" customHeight="1" x14ac:dyDescent="0.2">
      <c r="F943" s="18"/>
    </row>
    <row r="944" spans="6:6" ht="15.75" customHeight="1" x14ac:dyDescent="0.2">
      <c r="F944" s="18"/>
    </row>
    <row r="945" spans="6:6" ht="15.75" customHeight="1" x14ac:dyDescent="0.2">
      <c r="F945" s="18"/>
    </row>
    <row r="946" spans="6:6" ht="15.75" customHeight="1" x14ac:dyDescent="0.2">
      <c r="F946" s="18"/>
    </row>
    <row r="947" spans="6:6" ht="15.75" customHeight="1" x14ac:dyDescent="0.2">
      <c r="F947" s="18"/>
    </row>
    <row r="948" spans="6:6" ht="15.75" customHeight="1" x14ac:dyDescent="0.2">
      <c r="F948" s="18"/>
    </row>
    <row r="949" spans="6:6" ht="15.75" customHeight="1" x14ac:dyDescent="0.2">
      <c r="F949" s="18"/>
    </row>
    <row r="950" spans="6:6" ht="15.75" customHeight="1" x14ac:dyDescent="0.2">
      <c r="F950" s="18"/>
    </row>
    <row r="951" spans="6:6" ht="15.75" customHeight="1" x14ac:dyDescent="0.2">
      <c r="F951" s="18"/>
    </row>
    <row r="952" spans="6:6" ht="15.75" customHeight="1" x14ac:dyDescent="0.2">
      <c r="F952" s="18"/>
    </row>
    <row r="953" spans="6:6" ht="15.75" customHeight="1" x14ac:dyDescent="0.2">
      <c r="F953" s="18"/>
    </row>
    <row r="954" spans="6:6" ht="15.75" customHeight="1" x14ac:dyDescent="0.2">
      <c r="F954" s="18"/>
    </row>
    <row r="955" spans="6:6" ht="15.75" customHeight="1" x14ac:dyDescent="0.2">
      <c r="F955" s="18"/>
    </row>
    <row r="956" spans="6:6" ht="15.75" customHeight="1" x14ac:dyDescent="0.2">
      <c r="F956" s="18"/>
    </row>
    <row r="957" spans="6:6" ht="15.75" customHeight="1" x14ac:dyDescent="0.2">
      <c r="F957" s="18"/>
    </row>
    <row r="958" spans="6:6" ht="15.75" customHeight="1" x14ac:dyDescent="0.2">
      <c r="F958" s="18"/>
    </row>
    <row r="959" spans="6:6" ht="15.75" customHeight="1" x14ac:dyDescent="0.2">
      <c r="F959" s="18"/>
    </row>
    <row r="960" spans="6:6" ht="15.75" customHeight="1" x14ac:dyDescent="0.2">
      <c r="F960" s="18"/>
    </row>
    <row r="961" spans="6:6" ht="15.75" customHeight="1" x14ac:dyDescent="0.2">
      <c r="F961" s="18"/>
    </row>
    <row r="962" spans="6:6" ht="15.75" customHeight="1" x14ac:dyDescent="0.2">
      <c r="F962" s="18"/>
    </row>
    <row r="963" spans="6:6" ht="15.75" customHeight="1" x14ac:dyDescent="0.2">
      <c r="F963" s="18"/>
    </row>
    <row r="964" spans="6:6" ht="15.75" customHeight="1" x14ac:dyDescent="0.2">
      <c r="F964" s="18"/>
    </row>
    <row r="965" spans="6:6" ht="15.75" customHeight="1" x14ac:dyDescent="0.2">
      <c r="F965" s="18"/>
    </row>
    <row r="966" spans="6:6" ht="15.75" customHeight="1" x14ac:dyDescent="0.2">
      <c r="F966" s="18"/>
    </row>
    <row r="967" spans="6:6" ht="15.75" customHeight="1" x14ac:dyDescent="0.2">
      <c r="F967" s="18"/>
    </row>
    <row r="968" spans="6:6" ht="15.75" customHeight="1" x14ac:dyDescent="0.2">
      <c r="F968" s="18"/>
    </row>
    <row r="969" spans="6:6" ht="15.75" customHeight="1" x14ac:dyDescent="0.2">
      <c r="F969" s="18"/>
    </row>
    <row r="970" spans="6:6" ht="15.75" customHeight="1" x14ac:dyDescent="0.2">
      <c r="F970" s="18"/>
    </row>
    <row r="971" spans="6:6" ht="15.75" customHeight="1" x14ac:dyDescent="0.2">
      <c r="F971" s="18"/>
    </row>
    <row r="972" spans="6:6" ht="15.75" customHeight="1" x14ac:dyDescent="0.2">
      <c r="F972" s="18"/>
    </row>
  </sheetData>
  <autoFilter ref="A5:L7" xr:uid="{00000000-0009-0000-0000-000004000000}">
    <sortState xmlns:xlrd2="http://schemas.microsoft.com/office/spreadsheetml/2017/richdata2" ref="A8:L29">
      <sortCondition ref="B5:B7"/>
    </sortState>
  </autoFilter>
  <mergeCells count="11">
    <mergeCell ref="A1:J1"/>
    <mergeCell ref="A2:J2"/>
    <mergeCell ref="A3:J3"/>
    <mergeCell ref="A4:J4"/>
    <mergeCell ref="M5:M6"/>
    <mergeCell ref="D5:D6"/>
    <mergeCell ref="K5:K6"/>
    <mergeCell ref="L5:L6"/>
    <mergeCell ref="A5:A6"/>
    <mergeCell ref="B5:B6"/>
    <mergeCell ref="C5:C6"/>
  </mergeCells>
  <conditionalFormatting sqref="D7:D29">
    <cfRule type="cellIs" dxfId="2" priority="1" operator="lessThan">
      <formula>30</formula>
    </cfRule>
  </conditionalFormatting>
  <pageMargins left="0.70866141732283472" right="0.70866141732283472" top="0.74803149606299213" bottom="0.74803149606299213" header="0" footer="0"/>
  <pageSetup paperSize="9" scale="42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972"/>
  <sheetViews>
    <sheetView zoomScale="80" zoomScaleNormal="80" workbookViewId="0">
      <selection activeCell="I9" sqref="I9"/>
    </sheetView>
  </sheetViews>
  <sheetFormatPr defaultColWidth="12.5703125" defaultRowHeight="15" customHeight="1" x14ac:dyDescent="0.2"/>
  <cols>
    <col min="1" max="1" width="7.5703125" customWidth="1"/>
    <col min="2" max="2" width="21.85546875" customWidth="1"/>
    <col min="3" max="3" width="28.42578125" customWidth="1"/>
    <col min="4" max="4" width="10.5703125" hidden="1" customWidth="1"/>
    <col min="5" max="5" width="15.42578125" customWidth="1"/>
    <col min="6" max="7" width="12.85546875" customWidth="1"/>
    <col min="8" max="8" width="11.5703125" customWidth="1"/>
    <col min="9" max="9" width="12.85546875" customWidth="1"/>
    <col min="10" max="12" width="17.7109375" customWidth="1"/>
    <col min="13" max="13" width="12.5703125" customWidth="1"/>
  </cols>
  <sheetData>
    <row r="1" spans="1:13" ht="24.75" customHeight="1" thickBot="1" x14ac:dyDescent="0.25">
      <c r="A1" s="197" t="s">
        <v>0</v>
      </c>
      <c r="B1" s="198"/>
      <c r="C1" s="198"/>
      <c r="D1" s="198"/>
      <c r="E1" s="198"/>
      <c r="F1" s="198"/>
      <c r="G1" s="198"/>
      <c r="H1" s="198"/>
      <c r="I1" s="198"/>
      <c r="J1" s="199"/>
    </row>
    <row r="2" spans="1:13" ht="24.75" customHeight="1" thickBot="1" x14ac:dyDescent="0.25">
      <c r="A2" s="197" t="s">
        <v>1</v>
      </c>
      <c r="B2" s="198"/>
      <c r="C2" s="198"/>
      <c r="D2" s="198"/>
      <c r="E2" s="198"/>
      <c r="F2" s="198"/>
      <c r="G2" s="198"/>
      <c r="H2" s="198"/>
      <c r="I2" s="198"/>
      <c r="J2" s="199"/>
    </row>
    <row r="3" spans="1:13" ht="24.75" customHeight="1" thickBot="1" x14ac:dyDescent="0.25">
      <c r="A3" s="197" t="s">
        <v>66</v>
      </c>
      <c r="B3" s="198"/>
      <c r="C3" s="198"/>
      <c r="D3" s="198"/>
      <c r="E3" s="198"/>
      <c r="F3" s="198"/>
      <c r="G3" s="198"/>
      <c r="H3" s="198"/>
      <c r="I3" s="198"/>
      <c r="J3" s="199"/>
    </row>
    <row r="4" spans="1:13" ht="24.75" customHeight="1" x14ac:dyDescent="0.2">
      <c r="A4" s="200" t="s">
        <v>69</v>
      </c>
      <c r="B4" s="201"/>
      <c r="C4" s="201"/>
      <c r="D4" s="201"/>
      <c r="E4" s="201"/>
      <c r="F4" s="201"/>
      <c r="G4" s="201"/>
      <c r="H4" s="201"/>
      <c r="I4" s="201"/>
      <c r="J4" s="202"/>
    </row>
    <row r="5" spans="1:13" ht="37.5" customHeight="1" x14ac:dyDescent="0.2">
      <c r="A5" s="209" t="s">
        <v>2</v>
      </c>
      <c r="B5" s="209" t="s">
        <v>3</v>
      </c>
      <c r="C5" s="209" t="s">
        <v>4</v>
      </c>
      <c r="D5" s="209" t="s">
        <v>5</v>
      </c>
      <c r="E5" s="64">
        <v>46118</v>
      </c>
      <c r="F5" s="64">
        <v>46118</v>
      </c>
      <c r="G5" s="64">
        <v>46119</v>
      </c>
      <c r="H5" s="64">
        <v>46119</v>
      </c>
      <c r="I5" s="64">
        <v>46120</v>
      </c>
      <c r="J5" s="64">
        <v>46120</v>
      </c>
      <c r="K5" s="190" t="s">
        <v>6</v>
      </c>
      <c r="L5" s="187" t="s">
        <v>7</v>
      </c>
      <c r="M5" s="189" t="s">
        <v>8</v>
      </c>
    </row>
    <row r="6" spans="1:13" ht="49.5" customHeight="1" x14ac:dyDescent="0.2">
      <c r="A6" s="208"/>
      <c r="B6" s="208"/>
      <c r="C6" s="208"/>
      <c r="D6" s="208"/>
      <c r="E6" s="71" t="s">
        <v>61</v>
      </c>
      <c r="F6" s="72" t="s">
        <v>62</v>
      </c>
      <c r="G6" s="72" t="s">
        <v>63</v>
      </c>
      <c r="H6" s="72" t="s">
        <v>64</v>
      </c>
      <c r="I6" s="72" t="s">
        <v>65</v>
      </c>
      <c r="J6" s="72" t="s">
        <v>71</v>
      </c>
      <c r="K6" s="208"/>
      <c r="L6" s="208"/>
      <c r="M6" s="208"/>
    </row>
    <row r="7" spans="1:13" ht="33" customHeight="1" x14ac:dyDescent="0.2">
      <c r="A7" s="5">
        <v>1</v>
      </c>
      <c r="B7" s="37" t="s">
        <v>235</v>
      </c>
      <c r="C7" s="38" t="s">
        <v>236</v>
      </c>
      <c r="D7" s="36">
        <v>61.788617886178862</v>
      </c>
      <c r="E7" s="6">
        <v>16</v>
      </c>
      <c r="F7" s="7">
        <v>16</v>
      </c>
      <c r="G7" s="6">
        <v>19</v>
      </c>
      <c r="H7" s="6">
        <v>14</v>
      </c>
      <c r="I7" s="6"/>
      <c r="J7" s="16"/>
      <c r="K7" s="55">
        <f>SUM(E7:H7)</f>
        <v>65</v>
      </c>
      <c r="L7" s="50">
        <f>K7/80*100</f>
        <v>81.25</v>
      </c>
      <c r="M7" s="127" t="str">
        <f>IF(COUNTIF(E7:H7,"A")&gt;0,"A",IF(MIN(E7:H7)&gt;=7,"PASS","FAIL"))</f>
        <v>PASS</v>
      </c>
    </row>
    <row r="8" spans="1:13" ht="33" customHeight="1" x14ac:dyDescent="0.2">
      <c r="A8" s="5">
        <v>2</v>
      </c>
      <c r="B8" s="37" t="s">
        <v>230</v>
      </c>
      <c r="C8" s="38" t="s">
        <v>231</v>
      </c>
      <c r="D8" s="36">
        <v>63.114754098360656</v>
      </c>
      <c r="E8" s="6">
        <v>17</v>
      </c>
      <c r="F8" s="7">
        <v>18</v>
      </c>
      <c r="G8" s="6">
        <v>19</v>
      </c>
      <c r="H8" s="6">
        <v>15</v>
      </c>
      <c r="I8" s="6"/>
      <c r="J8" s="16"/>
      <c r="K8" s="55">
        <f t="shared" ref="K8:K25" si="0">SUM(E8:H8)</f>
        <v>69</v>
      </c>
      <c r="L8" s="50">
        <f t="shared" ref="L8:L25" si="1">K8/80*100</f>
        <v>86.25</v>
      </c>
      <c r="M8" s="127" t="str">
        <f t="shared" ref="M8:M25" si="2">IF(COUNTIF(E8:H8,"A")&gt;0,"A",IF(MIN(E8:H8)&gt;=7,"PASS","FAIL"))</f>
        <v>PASS</v>
      </c>
    </row>
    <row r="9" spans="1:13" ht="33" customHeight="1" x14ac:dyDescent="0.2">
      <c r="A9" s="5">
        <v>3</v>
      </c>
      <c r="B9" s="37" t="s">
        <v>227</v>
      </c>
      <c r="C9" s="38" t="s">
        <v>228</v>
      </c>
      <c r="D9" s="36">
        <v>63.414634146341463</v>
      </c>
      <c r="E9" s="6">
        <v>9</v>
      </c>
      <c r="F9" s="7">
        <v>2</v>
      </c>
      <c r="G9" s="6">
        <v>7</v>
      </c>
      <c r="H9" s="6">
        <v>7</v>
      </c>
      <c r="I9" s="6"/>
      <c r="J9" s="16"/>
      <c r="K9" s="55">
        <f t="shared" si="0"/>
        <v>25</v>
      </c>
      <c r="L9" s="50">
        <f t="shared" si="1"/>
        <v>31.25</v>
      </c>
      <c r="M9" s="127" t="str">
        <f t="shared" si="2"/>
        <v>FAIL</v>
      </c>
    </row>
    <row r="10" spans="1:13" ht="33" customHeight="1" x14ac:dyDescent="0.2">
      <c r="A10" s="5">
        <v>4</v>
      </c>
      <c r="B10" s="37" t="s">
        <v>237</v>
      </c>
      <c r="C10" s="38" t="s">
        <v>238</v>
      </c>
      <c r="D10" s="36">
        <v>61.788617886178862</v>
      </c>
      <c r="E10" s="6">
        <v>10</v>
      </c>
      <c r="F10" s="7">
        <v>8</v>
      </c>
      <c r="G10" s="6">
        <v>16</v>
      </c>
      <c r="H10" s="6">
        <v>10</v>
      </c>
      <c r="I10" s="6"/>
      <c r="J10" s="16"/>
      <c r="K10" s="55">
        <f t="shared" si="0"/>
        <v>44</v>
      </c>
      <c r="L10" s="50">
        <f t="shared" si="1"/>
        <v>55.000000000000007</v>
      </c>
      <c r="M10" s="127" t="str">
        <f t="shared" si="2"/>
        <v>PASS</v>
      </c>
    </row>
    <row r="11" spans="1:13" ht="33" customHeight="1" x14ac:dyDescent="0.2">
      <c r="A11" s="5">
        <v>5</v>
      </c>
      <c r="B11" s="37" t="s">
        <v>241</v>
      </c>
      <c r="C11" s="38" t="s">
        <v>242</v>
      </c>
      <c r="D11" s="36">
        <v>61.475409836065573</v>
      </c>
      <c r="E11" s="6">
        <v>12</v>
      </c>
      <c r="F11" s="7">
        <v>12</v>
      </c>
      <c r="G11" s="6">
        <v>20</v>
      </c>
      <c r="H11" s="6">
        <v>16</v>
      </c>
      <c r="I11" s="6"/>
      <c r="J11" s="16"/>
      <c r="K11" s="55">
        <f t="shared" si="0"/>
        <v>60</v>
      </c>
      <c r="L11" s="50">
        <f t="shared" si="1"/>
        <v>75</v>
      </c>
      <c r="M11" s="127" t="str">
        <f t="shared" si="2"/>
        <v>PASS</v>
      </c>
    </row>
    <row r="12" spans="1:13" ht="33" customHeight="1" x14ac:dyDescent="0.2">
      <c r="A12" s="5">
        <v>6</v>
      </c>
      <c r="B12" s="37" t="s">
        <v>223</v>
      </c>
      <c r="C12" s="38" t="s">
        <v>224</v>
      </c>
      <c r="D12" s="36">
        <v>64.22764227642277</v>
      </c>
      <c r="E12" s="6">
        <v>12</v>
      </c>
      <c r="F12" s="7">
        <v>16</v>
      </c>
      <c r="G12" s="6">
        <v>16</v>
      </c>
      <c r="H12" s="6">
        <v>14</v>
      </c>
      <c r="I12" s="6"/>
      <c r="J12" s="16"/>
      <c r="K12" s="55">
        <f t="shared" si="0"/>
        <v>58</v>
      </c>
      <c r="L12" s="50">
        <f t="shared" si="1"/>
        <v>72.5</v>
      </c>
      <c r="M12" s="127" t="str">
        <f t="shared" si="2"/>
        <v>PASS</v>
      </c>
    </row>
    <row r="13" spans="1:13" ht="33" customHeight="1" x14ac:dyDescent="0.2">
      <c r="A13" s="5">
        <v>7</v>
      </c>
      <c r="B13" s="37" t="s">
        <v>209</v>
      </c>
      <c r="C13" s="38" t="s">
        <v>210</v>
      </c>
      <c r="D13" s="36">
        <v>77.235772357723576</v>
      </c>
      <c r="E13" s="6">
        <v>16</v>
      </c>
      <c r="F13" s="7">
        <v>9</v>
      </c>
      <c r="G13" s="6">
        <v>18</v>
      </c>
      <c r="H13" s="6">
        <v>14</v>
      </c>
      <c r="I13" s="6"/>
      <c r="J13" s="16"/>
      <c r="K13" s="55">
        <f t="shared" si="0"/>
        <v>57</v>
      </c>
      <c r="L13" s="50">
        <f t="shared" si="1"/>
        <v>71.25</v>
      </c>
      <c r="M13" s="127" t="str">
        <f t="shared" si="2"/>
        <v>PASS</v>
      </c>
    </row>
    <row r="14" spans="1:13" ht="33" customHeight="1" x14ac:dyDescent="0.2">
      <c r="A14" s="5">
        <v>8</v>
      </c>
      <c r="B14" s="37" t="s">
        <v>229</v>
      </c>
      <c r="C14" s="38" t="s">
        <v>19</v>
      </c>
      <c r="D14" s="36">
        <v>63.414634146341463</v>
      </c>
      <c r="E14" s="6">
        <v>14</v>
      </c>
      <c r="F14" s="7">
        <v>2</v>
      </c>
      <c r="G14" s="6">
        <v>2</v>
      </c>
      <c r="H14" s="6">
        <v>5</v>
      </c>
      <c r="I14" s="6"/>
      <c r="J14" s="16"/>
      <c r="K14" s="55">
        <f t="shared" si="0"/>
        <v>23</v>
      </c>
      <c r="L14" s="50">
        <f t="shared" si="1"/>
        <v>28.749999999999996</v>
      </c>
      <c r="M14" s="127" t="str">
        <f t="shared" si="2"/>
        <v>FAIL</v>
      </c>
    </row>
    <row r="15" spans="1:13" ht="33" customHeight="1" x14ac:dyDescent="0.2">
      <c r="A15" s="5">
        <v>9</v>
      </c>
      <c r="B15" s="37" t="s">
        <v>239</v>
      </c>
      <c r="C15" s="38" t="s">
        <v>240</v>
      </c>
      <c r="D15" s="36">
        <v>61.788617886178862</v>
      </c>
      <c r="E15" s="6">
        <v>13</v>
      </c>
      <c r="F15" s="7">
        <v>11</v>
      </c>
      <c r="G15" s="6">
        <v>18</v>
      </c>
      <c r="H15" s="6">
        <v>13</v>
      </c>
      <c r="I15" s="6"/>
      <c r="J15" s="16"/>
      <c r="K15" s="55">
        <f t="shared" si="0"/>
        <v>55</v>
      </c>
      <c r="L15" s="50">
        <f t="shared" si="1"/>
        <v>68.75</v>
      </c>
      <c r="M15" s="127" t="str">
        <f t="shared" si="2"/>
        <v>PASS</v>
      </c>
    </row>
    <row r="16" spans="1:13" ht="33" customHeight="1" x14ac:dyDescent="0.2">
      <c r="A16" s="5">
        <v>10</v>
      </c>
      <c r="B16" s="37" t="s">
        <v>221</v>
      </c>
      <c r="C16" s="38" t="s">
        <v>222</v>
      </c>
      <c r="D16" s="36">
        <v>64.516129032258064</v>
      </c>
      <c r="E16" s="6">
        <v>11</v>
      </c>
      <c r="F16" s="7">
        <v>11</v>
      </c>
      <c r="G16" s="6">
        <v>10</v>
      </c>
      <c r="H16" s="6">
        <v>14</v>
      </c>
      <c r="I16" s="6"/>
      <c r="J16" s="16"/>
      <c r="K16" s="55">
        <f t="shared" si="0"/>
        <v>46</v>
      </c>
      <c r="L16" s="50">
        <f t="shared" si="1"/>
        <v>57.499999999999993</v>
      </c>
      <c r="M16" s="127" t="str">
        <f t="shared" si="2"/>
        <v>PASS</v>
      </c>
    </row>
    <row r="17" spans="1:26" ht="33" customHeight="1" x14ac:dyDescent="0.2">
      <c r="A17" s="5">
        <v>11</v>
      </c>
      <c r="B17" s="37" t="s">
        <v>211</v>
      </c>
      <c r="C17" s="38" t="s">
        <v>212</v>
      </c>
      <c r="D17" s="36">
        <v>72.357723577235774</v>
      </c>
      <c r="E17" s="6">
        <v>15</v>
      </c>
      <c r="F17" s="7">
        <v>14</v>
      </c>
      <c r="G17" s="6">
        <v>19</v>
      </c>
      <c r="H17" s="6">
        <v>14</v>
      </c>
      <c r="I17" s="6"/>
      <c r="J17" s="16"/>
      <c r="K17" s="55">
        <f t="shared" si="0"/>
        <v>62</v>
      </c>
      <c r="L17" s="50">
        <f t="shared" si="1"/>
        <v>77.5</v>
      </c>
      <c r="M17" s="127" t="str">
        <f t="shared" si="2"/>
        <v>PASS</v>
      </c>
    </row>
    <row r="18" spans="1:26" ht="33" customHeight="1" x14ac:dyDescent="0.2">
      <c r="A18" s="5">
        <v>12</v>
      </c>
      <c r="B18" s="39" t="s">
        <v>233</v>
      </c>
      <c r="C18" s="40" t="s">
        <v>234</v>
      </c>
      <c r="D18" s="41">
        <v>62.096774193548384</v>
      </c>
      <c r="E18" s="6">
        <v>13</v>
      </c>
      <c r="F18" s="7">
        <v>13</v>
      </c>
      <c r="G18" s="6">
        <v>12</v>
      </c>
      <c r="H18" s="6">
        <v>12</v>
      </c>
      <c r="I18" s="6"/>
      <c r="J18" s="16"/>
      <c r="K18" s="55">
        <f t="shared" si="0"/>
        <v>50</v>
      </c>
      <c r="L18" s="50">
        <f t="shared" si="1"/>
        <v>62.5</v>
      </c>
      <c r="M18" s="127" t="str">
        <f t="shared" si="2"/>
        <v>PASS</v>
      </c>
    </row>
    <row r="19" spans="1:26" ht="33" customHeight="1" x14ac:dyDescent="0.2">
      <c r="A19" s="5">
        <v>13</v>
      </c>
      <c r="B19" s="37" t="s">
        <v>219</v>
      </c>
      <c r="C19" s="38" t="s">
        <v>220</v>
      </c>
      <c r="D19" s="36">
        <v>66.129032258064512</v>
      </c>
      <c r="E19" s="6">
        <v>15</v>
      </c>
      <c r="F19" s="7">
        <v>17</v>
      </c>
      <c r="G19" s="6">
        <v>20</v>
      </c>
      <c r="H19" s="6">
        <v>17</v>
      </c>
      <c r="I19" s="6"/>
      <c r="J19" s="16"/>
      <c r="K19" s="55">
        <f t="shared" si="0"/>
        <v>69</v>
      </c>
      <c r="L19" s="50">
        <f t="shared" si="1"/>
        <v>86.25</v>
      </c>
      <c r="M19" s="127" t="str">
        <f t="shared" si="2"/>
        <v>PASS</v>
      </c>
    </row>
    <row r="20" spans="1:26" ht="33" customHeight="1" x14ac:dyDescent="0.2">
      <c r="A20" s="5">
        <v>14</v>
      </c>
      <c r="B20" s="37" t="s">
        <v>213</v>
      </c>
      <c r="C20" s="38" t="s">
        <v>214</v>
      </c>
      <c r="D20" s="36">
        <v>71.774193548387103</v>
      </c>
      <c r="E20" s="6">
        <v>16</v>
      </c>
      <c r="F20" s="7">
        <v>12</v>
      </c>
      <c r="G20" s="6">
        <v>20</v>
      </c>
      <c r="H20" s="6">
        <v>14</v>
      </c>
      <c r="I20" s="6"/>
      <c r="J20" s="16"/>
      <c r="K20" s="55">
        <f t="shared" si="0"/>
        <v>62</v>
      </c>
      <c r="L20" s="50">
        <f t="shared" si="1"/>
        <v>77.5</v>
      </c>
      <c r="M20" s="127" t="str">
        <f t="shared" si="2"/>
        <v>PASS</v>
      </c>
    </row>
    <row r="21" spans="1:26" ht="33" customHeight="1" x14ac:dyDescent="0.2">
      <c r="A21" s="5">
        <v>15</v>
      </c>
      <c r="B21" s="37" t="s">
        <v>217</v>
      </c>
      <c r="C21" s="38" t="s">
        <v>218</v>
      </c>
      <c r="D21" s="36">
        <v>67.741935483870961</v>
      </c>
      <c r="E21" s="6">
        <v>14</v>
      </c>
      <c r="F21" s="7">
        <v>15</v>
      </c>
      <c r="G21" s="6">
        <v>19</v>
      </c>
      <c r="H21" s="6">
        <v>15</v>
      </c>
      <c r="I21" s="6"/>
      <c r="J21" s="16"/>
      <c r="K21" s="55">
        <f t="shared" si="0"/>
        <v>63</v>
      </c>
      <c r="L21" s="50">
        <f t="shared" si="1"/>
        <v>78.75</v>
      </c>
      <c r="M21" s="127" t="str">
        <f t="shared" si="2"/>
        <v>PASS</v>
      </c>
    </row>
    <row r="22" spans="1:26" ht="33" customHeight="1" x14ac:dyDescent="0.2">
      <c r="A22" s="5">
        <v>16</v>
      </c>
      <c r="B22" s="37" t="s">
        <v>232</v>
      </c>
      <c r="C22" s="38" t="s">
        <v>20</v>
      </c>
      <c r="D22" s="36">
        <v>62.601626016260155</v>
      </c>
      <c r="E22" s="6">
        <v>11</v>
      </c>
      <c r="F22" s="7">
        <v>2</v>
      </c>
      <c r="G22" s="6">
        <v>2</v>
      </c>
      <c r="H22" s="6">
        <v>4</v>
      </c>
      <c r="I22" s="6"/>
      <c r="J22" s="16"/>
      <c r="K22" s="55">
        <f t="shared" si="0"/>
        <v>19</v>
      </c>
      <c r="L22" s="50">
        <f t="shared" si="1"/>
        <v>23.75</v>
      </c>
      <c r="M22" s="127" t="str">
        <f t="shared" si="2"/>
        <v>FAIL</v>
      </c>
    </row>
    <row r="23" spans="1:26" ht="33" customHeight="1" x14ac:dyDescent="0.2">
      <c r="A23" s="5">
        <v>17</v>
      </c>
      <c r="B23" s="37" t="s">
        <v>243</v>
      </c>
      <c r="C23" s="38" t="s">
        <v>244</v>
      </c>
      <c r="D23" s="36">
        <v>61.29032258064516</v>
      </c>
      <c r="E23" s="6">
        <v>20</v>
      </c>
      <c r="F23" s="7">
        <v>19</v>
      </c>
      <c r="G23" s="6">
        <v>20</v>
      </c>
      <c r="H23" s="6">
        <v>14</v>
      </c>
      <c r="I23" s="6"/>
      <c r="J23" s="16"/>
      <c r="K23" s="55">
        <f t="shared" si="0"/>
        <v>73</v>
      </c>
      <c r="L23" s="50">
        <f t="shared" si="1"/>
        <v>91.25</v>
      </c>
      <c r="M23" s="127" t="str">
        <f t="shared" si="2"/>
        <v>PASS</v>
      </c>
    </row>
    <row r="24" spans="1:26" ht="33" customHeight="1" x14ac:dyDescent="0.2">
      <c r="A24" s="5">
        <v>18</v>
      </c>
      <c r="B24" s="37" t="s">
        <v>215</v>
      </c>
      <c r="C24" s="38" t="s">
        <v>216</v>
      </c>
      <c r="D24" s="36">
        <v>69.918699186991873</v>
      </c>
      <c r="E24" s="6">
        <v>14</v>
      </c>
      <c r="F24" s="7">
        <v>18</v>
      </c>
      <c r="G24" s="6">
        <v>12</v>
      </c>
      <c r="H24" s="6">
        <v>5</v>
      </c>
      <c r="I24" s="6"/>
      <c r="J24" s="16"/>
      <c r="K24" s="55">
        <f t="shared" si="0"/>
        <v>49</v>
      </c>
      <c r="L24" s="50">
        <f t="shared" si="1"/>
        <v>61.250000000000007</v>
      </c>
      <c r="M24" s="127" t="str">
        <f t="shared" si="2"/>
        <v>FAIL</v>
      </c>
    </row>
    <row r="25" spans="1:26" ht="33" customHeight="1" x14ac:dyDescent="0.2">
      <c r="A25" s="5">
        <v>19</v>
      </c>
      <c r="B25" s="37" t="s">
        <v>225</v>
      </c>
      <c r="C25" s="38" t="s">
        <v>226</v>
      </c>
      <c r="D25" s="36">
        <v>64.22764227642277</v>
      </c>
      <c r="E25" s="6">
        <v>13</v>
      </c>
      <c r="F25" s="7">
        <v>10</v>
      </c>
      <c r="G25" s="6">
        <v>16</v>
      </c>
      <c r="H25" s="6"/>
      <c r="I25" s="6"/>
      <c r="J25" s="16"/>
      <c r="K25" s="55">
        <f t="shared" si="0"/>
        <v>39</v>
      </c>
      <c r="L25" s="50">
        <f t="shared" si="1"/>
        <v>48.75</v>
      </c>
      <c r="M25" s="127" t="str">
        <f t="shared" si="2"/>
        <v>PASS</v>
      </c>
    </row>
    <row r="26" spans="1:26" ht="27.75" customHeight="1" x14ac:dyDescent="0.2">
      <c r="A26" s="1"/>
      <c r="B26" s="19"/>
      <c r="C26" s="20"/>
      <c r="D26" s="11"/>
      <c r="E26" s="11"/>
      <c r="F26" s="11"/>
      <c r="G26" s="11"/>
      <c r="H26" s="12"/>
      <c r="I26" s="13"/>
      <c r="J26" s="9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.75" customHeight="1" x14ac:dyDescent="0.2">
      <c r="C27" s="14" t="s">
        <v>11</v>
      </c>
      <c r="D27" s="8"/>
      <c r="E27" s="9">
        <f t="shared" ref="E27:I27" si="3">COUNTA(E7:E25)</f>
        <v>19</v>
      </c>
      <c r="F27" s="9">
        <f t="shared" si="3"/>
        <v>19</v>
      </c>
      <c r="G27" s="9">
        <f t="shared" si="3"/>
        <v>19</v>
      </c>
      <c r="H27" s="9">
        <f t="shared" si="3"/>
        <v>18</v>
      </c>
      <c r="I27" s="9">
        <f t="shared" si="3"/>
        <v>0</v>
      </c>
      <c r="J27" s="9">
        <f>COUNTA(K7:K25)</f>
        <v>19</v>
      </c>
    </row>
    <row r="28" spans="1:26" ht="27.75" customHeight="1" x14ac:dyDescent="0.2">
      <c r="C28" s="14" t="s">
        <v>12</v>
      </c>
      <c r="D28" s="8"/>
      <c r="E28" s="9">
        <f>COUNTIF(E7:E25,"A")</f>
        <v>0</v>
      </c>
      <c r="F28" s="9">
        <f>COUNTIF(F7:F25,"A")</f>
        <v>0</v>
      </c>
      <c r="G28" s="9">
        <f>COUNTIF(G7:G25,"A")</f>
        <v>0</v>
      </c>
      <c r="H28" s="9">
        <f>COUNTIF(H7:H25,"A")</f>
        <v>0</v>
      </c>
      <c r="I28" s="9">
        <f>COUNTIF(I7:I25,"A")</f>
        <v>0</v>
      </c>
      <c r="J28" s="9">
        <f>COUNTIF(M7:M25,"A")</f>
        <v>0</v>
      </c>
    </row>
    <row r="29" spans="1:26" ht="27.75" customHeight="1" x14ac:dyDescent="0.2">
      <c r="C29" s="14" t="s">
        <v>13</v>
      </c>
      <c r="D29" s="8"/>
      <c r="E29" s="9">
        <f t="shared" ref="E29:J29" si="4">E27-E28</f>
        <v>19</v>
      </c>
      <c r="F29" s="9">
        <f t="shared" si="4"/>
        <v>19</v>
      </c>
      <c r="G29" s="9">
        <f t="shared" si="4"/>
        <v>19</v>
      </c>
      <c r="H29" s="9">
        <f t="shared" si="4"/>
        <v>18</v>
      </c>
      <c r="I29" s="9">
        <f t="shared" si="4"/>
        <v>0</v>
      </c>
      <c r="J29" s="9">
        <f t="shared" si="4"/>
        <v>19</v>
      </c>
    </row>
    <row r="30" spans="1:26" ht="27.75" customHeight="1" x14ac:dyDescent="0.2">
      <c r="C30" s="14" t="s">
        <v>14</v>
      </c>
      <c r="D30" s="8"/>
      <c r="E30" s="9">
        <f>COUNTIF(E7:E26, "&gt;=7")</f>
        <v>19</v>
      </c>
      <c r="F30" s="9">
        <f t="shared" ref="F30:I30" si="5">COUNTIF(F7:F26, "&gt;=7")</f>
        <v>16</v>
      </c>
      <c r="G30" s="9">
        <f t="shared" si="5"/>
        <v>17</v>
      </c>
      <c r="H30" s="9">
        <f t="shared" si="5"/>
        <v>15</v>
      </c>
      <c r="I30" s="9">
        <f t="shared" si="5"/>
        <v>0</v>
      </c>
      <c r="J30" s="9">
        <f>COUNTIF(M7:M25, "PASS")</f>
        <v>15</v>
      </c>
    </row>
    <row r="31" spans="1:26" ht="27.75" customHeight="1" x14ac:dyDescent="0.2">
      <c r="C31" s="14" t="s">
        <v>15</v>
      </c>
      <c r="D31" s="8"/>
      <c r="E31" s="15">
        <f t="shared" ref="E31:J31" si="6">E30/E29</f>
        <v>1</v>
      </c>
      <c r="F31" s="15">
        <f t="shared" si="6"/>
        <v>0.84210526315789469</v>
      </c>
      <c r="G31" s="15">
        <f t="shared" si="6"/>
        <v>0.89473684210526316</v>
      </c>
      <c r="H31" s="15">
        <f t="shared" si="6"/>
        <v>0.83333333333333337</v>
      </c>
      <c r="I31" s="15" t="e">
        <f t="shared" si="6"/>
        <v>#DIV/0!</v>
      </c>
      <c r="J31" s="15">
        <f t="shared" si="6"/>
        <v>0.78947368421052633</v>
      </c>
    </row>
    <row r="32" spans="1:2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</sheetData>
  <autoFilter ref="A5:L6" xr:uid="{00000000-0009-0000-0000-000005000000}">
    <sortState xmlns:xlrd2="http://schemas.microsoft.com/office/spreadsheetml/2017/richdata2" ref="A8:L25">
      <sortCondition ref="B5:B6"/>
    </sortState>
  </autoFilter>
  <mergeCells count="11">
    <mergeCell ref="A1:J1"/>
    <mergeCell ref="A2:J2"/>
    <mergeCell ref="A3:J3"/>
    <mergeCell ref="A4:J4"/>
    <mergeCell ref="M5:M6"/>
    <mergeCell ref="D5:D6"/>
    <mergeCell ref="K5:K6"/>
    <mergeCell ref="L5:L6"/>
    <mergeCell ref="A5:A6"/>
    <mergeCell ref="B5:B6"/>
    <mergeCell ref="C5:C6"/>
  </mergeCells>
  <conditionalFormatting sqref="D7:D25">
    <cfRule type="cellIs" dxfId="1" priority="1" operator="lessThan">
      <formula>30</formula>
    </cfRule>
  </conditionalFormatting>
  <pageMargins left="0.70866141732283472" right="0.70866141732283472" top="0.74803149606299213" bottom="0.74803149606299213" header="0" footer="0"/>
  <pageSetup paperSize="9" scale="63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977"/>
  <sheetViews>
    <sheetView topLeftCell="A18" zoomScale="60" zoomScaleNormal="60" workbookViewId="0">
      <selection activeCell="L25" sqref="L25"/>
    </sheetView>
  </sheetViews>
  <sheetFormatPr defaultColWidth="12.5703125" defaultRowHeight="15" customHeight="1" x14ac:dyDescent="0.2"/>
  <cols>
    <col min="1" max="1" width="7.5703125" customWidth="1"/>
    <col min="2" max="2" width="21.85546875" customWidth="1"/>
    <col min="3" max="3" width="33.28515625" customWidth="1"/>
    <col min="4" max="4" width="9.7109375" hidden="1" customWidth="1"/>
    <col min="5" max="7" width="12.85546875" customWidth="1"/>
    <col min="8" max="8" width="15.85546875" customWidth="1"/>
    <col min="9" max="9" width="12.85546875" customWidth="1"/>
    <col min="10" max="10" width="13.5703125" customWidth="1"/>
    <col min="11" max="11" width="16.42578125" customWidth="1"/>
    <col min="12" max="12" width="13.42578125" customWidth="1"/>
    <col min="13" max="13" width="12.5703125" customWidth="1"/>
  </cols>
  <sheetData>
    <row r="1" spans="1:13" ht="24.75" customHeight="1" thickBot="1" x14ac:dyDescent="0.25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3"/>
      <c r="K1" s="42"/>
      <c r="L1" s="42"/>
      <c r="M1" s="42"/>
    </row>
    <row r="2" spans="1:13" ht="24.75" customHeight="1" thickBot="1" x14ac:dyDescent="0.25">
      <c r="A2" s="191" t="s">
        <v>1</v>
      </c>
      <c r="B2" s="192"/>
      <c r="C2" s="192"/>
      <c r="D2" s="192"/>
      <c r="E2" s="192"/>
      <c r="F2" s="192"/>
      <c r="G2" s="192"/>
      <c r="H2" s="192"/>
      <c r="I2" s="192"/>
      <c r="J2" s="193"/>
      <c r="K2" s="42"/>
      <c r="L2" s="42"/>
      <c r="M2" s="42"/>
    </row>
    <row r="3" spans="1:13" ht="24.75" customHeight="1" thickBot="1" x14ac:dyDescent="0.25">
      <c r="A3" s="191" t="s">
        <v>66</v>
      </c>
      <c r="B3" s="192"/>
      <c r="C3" s="192"/>
      <c r="D3" s="192"/>
      <c r="E3" s="192"/>
      <c r="F3" s="192"/>
      <c r="G3" s="192"/>
      <c r="H3" s="192"/>
      <c r="I3" s="192"/>
      <c r="J3" s="193"/>
      <c r="K3" s="42"/>
      <c r="L3" s="42"/>
      <c r="M3" s="42"/>
    </row>
    <row r="4" spans="1:13" ht="24.75" customHeight="1" x14ac:dyDescent="0.2">
      <c r="A4" s="194" t="s">
        <v>70</v>
      </c>
      <c r="B4" s="195"/>
      <c r="C4" s="195"/>
      <c r="D4" s="195"/>
      <c r="E4" s="195"/>
      <c r="F4" s="195"/>
      <c r="G4" s="195"/>
      <c r="H4" s="195"/>
      <c r="I4" s="195"/>
      <c r="J4" s="196"/>
      <c r="K4" s="42"/>
      <c r="L4" s="42"/>
      <c r="M4" s="42"/>
    </row>
    <row r="5" spans="1:13" ht="37.5" customHeight="1" x14ac:dyDescent="0.2">
      <c r="A5" s="183" t="s">
        <v>2</v>
      </c>
      <c r="B5" s="183" t="s">
        <v>3</v>
      </c>
      <c r="C5" s="183" t="s">
        <v>4</v>
      </c>
      <c r="D5" s="183" t="s">
        <v>5</v>
      </c>
      <c r="E5" s="64">
        <v>46118</v>
      </c>
      <c r="F5" s="64">
        <v>46118</v>
      </c>
      <c r="G5" s="64">
        <v>46119</v>
      </c>
      <c r="H5" s="64">
        <v>46119</v>
      </c>
      <c r="I5" s="64">
        <v>46120</v>
      </c>
      <c r="J5" s="64">
        <v>46120</v>
      </c>
      <c r="K5" s="190" t="s">
        <v>6</v>
      </c>
      <c r="L5" s="187" t="s">
        <v>7</v>
      </c>
      <c r="M5" s="189" t="s">
        <v>8</v>
      </c>
    </row>
    <row r="6" spans="1:13" ht="45.75" customHeight="1" x14ac:dyDescent="0.2">
      <c r="A6" s="188"/>
      <c r="B6" s="188"/>
      <c r="C6" s="188"/>
      <c r="D6" s="188"/>
      <c r="E6" s="65" t="s">
        <v>61</v>
      </c>
      <c r="F6" s="66" t="s">
        <v>62</v>
      </c>
      <c r="G6" s="66" t="s">
        <v>63</v>
      </c>
      <c r="H6" s="66" t="s">
        <v>64</v>
      </c>
      <c r="I6" s="66" t="s">
        <v>65</v>
      </c>
      <c r="J6" s="66" t="s">
        <v>71</v>
      </c>
      <c r="K6" s="188"/>
      <c r="L6" s="188"/>
      <c r="M6" s="188"/>
    </row>
    <row r="7" spans="1:13" ht="33" customHeight="1" x14ac:dyDescent="0.2">
      <c r="A7" s="43">
        <v>1</v>
      </c>
      <c r="B7" s="44" t="s">
        <v>265</v>
      </c>
      <c r="C7" s="45" t="s">
        <v>266</v>
      </c>
      <c r="D7" s="46">
        <v>66.141732283464577</v>
      </c>
      <c r="E7" s="120">
        <v>19</v>
      </c>
      <c r="F7" s="47">
        <v>16</v>
      </c>
      <c r="G7" s="47">
        <v>18</v>
      </c>
      <c r="H7" s="124">
        <v>20</v>
      </c>
      <c r="I7" s="47"/>
      <c r="J7" s="48"/>
      <c r="K7" s="55">
        <f t="shared" ref="K7:K29" si="0">SUM(E7:H7)</f>
        <v>73</v>
      </c>
      <c r="L7" s="50">
        <f t="shared" ref="L7:L29" si="1">K7/80*100</f>
        <v>91.25</v>
      </c>
      <c r="M7" s="127" t="str">
        <f>IF(COUNTIF(E7:H7,"A")&gt;0,"A",IF(MIN(E7:H7)&gt;=7,"PASS","FAIL"))</f>
        <v>PASS</v>
      </c>
    </row>
    <row r="8" spans="1:13" ht="33" customHeight="1" x14ac:dyDescent="0.2">
      <c r="A8" s="43">
        <v>2</v>
      </c>
      <c r="B8" s="44" t="s">
        <v>255</v>
      </c>
      <c r="C8" s="45" t="s">
        <v>256</v>
      </c>
      <c r="D8" s="46">
        <v>71.604938271604937</v>
      </c>
      <c r="E8" s="120">
        <v>19</v>
      </c>
      <c r="F8" s="47">
        <v>15</v>
      </c>
      <c r="G8" s="47">
        <v>11</v>
      </c>
      <c r="H8" s="124">
        <v>17</v>
      </c>
      <c r="I8" s="47"/>
      <c r="J8" s="48"/>
      <c r="K8" s="55">
        <f t="shared" si="0"/>
        <v>62</v>
      </c>
      <c r="L8" s="50">
        <f t="shared" si="1"/>
        <v>77.5</v>
      </c>
      <c r="M8" s="127" t="str">
        <f t="shared" ref="M8:M29" si="2">IF(COUNTIF(E8:H8,"A")&gt;0,"A",IF(MIN(E8:H8)&gt;=7,"PASS","FAIL"))</f>
        <v>PASS</v>
      </c>
    </row>
    <row r="9" spans="1:13" ht="33" customHeight="1" x14ac:dyDescent="0.2">
      <c r="A9" s="43">
        <v>3</v>
      </c>
      <c r="B9" s="44" t="s">
        <v>281</v>
      </c>
      <c r="C9" s="45" t="s">
        <v>282</v>
      </c>
      <c r="D9" s="46">
        <v>61.392405063291143</v>
      </c>
      <c r="E9" s="120">
        <v>18</v>
      </c>
      <c r="F9" s="47">
        <v>17</v>
      </c>
      <c r="G9" s="47">
        <v>15</v>
      </c>
      <c r="H9" s="124">
        <v>20</v>
      </c>
      <c r="I9" s="47"/>
      <c r="J9" s="48"/>
      <c r="K9" s="55">
        <f t="shared" si="0"/>
        <v>70</v>
      </c>
      <c r="L9" s="50">
        <f t="shared" si="1"/>
        <v>87.5</v>
      </c>
      <c r="M9" s="127" t="str">
        <f t="shared" si="2"/>
        <v>PASS</v>
      </c>
    </row>
    <row r="10" spans="1:13" ht="33" customHeight="1" x14ac:dyDescent="0.2">
      <c r="A10" s="43">
        <v>4</v>
      </c>
      <c r="B10" s="44" t="s">
        <v>275</v>
      </c>
      <c r="C10" s="45" t="s">
        <v>276</v>
      </c>
      <c r="D10" s="46">
        <v>62.962962962962962</v>
      </c>
      <c r="E10" s="120">
        <v>12</v>
      </c>
      <c r="F10" s="47">
        <v>18</v>
      </c>
      <c r="G10" s="47">
        <v>11</v>
      </c>
      <c r="H10" s="124">
        <v>17</v>
      </c>
      <c r="I10" s="47"/>
      <c r="J10" s="48"/>
      <c r="K10" s="55">
        <f t="shared" si="0"/>
        <v>58</v>
      </c>
      <c r="L10" s="50">
        <f t="shared" si="1"/>
        <v>72.5</v>
      </c>
      <c r="M10" s="127" t="str">
        <f t="shared" si="2"/>
        <v>PASS</v>
      </c>
    </row>
    <row r="11" spans="1:13" ht="33" customHeight="1" x14ac:dyDescent="0.2">
      <c r="A11" s="43">
        <v>5</v>
      </c>
      <c r="B11" s="44" t="s">
        <v>263</v>
      </c>
      <c r="C11" s="45" t="s">
        <v>264</v>
      </c>
      <c r="D11" s="46">
        <v>66.666666666666657</v>
      </c>
      <c r="E11" s="120">
        <v>14</v>
      </c>
      <c r="F11" s="47">
        <v>17</v>
      </c>
      <c r="G11" s="47">
        <v>12</v>
      </c>
      <c r="H11" s="124">
        <v>20</v>
      </c>
      <c r="I11" s="47"/>
      <c r="J11" s="48"/>
      <c r="K11" s="55">
        <f t="shared" si="0"/>
        <v>63</v>
      </c>
      <c r="L11" s="50">
        <f t="shared" si="1"/>
        <v>78.75</v>
      </c>
      <c r="M11" s="127" t="str">
        <f t="shared" si="2"/>
        <v>PASS</v>
      </c>
    </row>
    <row r="12" spans="1:13" ht="33" customHeight="1" x14ac:dyDescent="0.2">
      <c r="A12" s="43">
        <v>6</v>
      </c>
      <c r="B12" s="44" t="s">
        <v>247</v>
      </c>
      <c r="C12" s="45" t="s">
        <v>248</v>
      </c>
      <c r="D12" s="46">
        <v>78.395061728395063</v>
      </c>
      <c r="E12" s="120">
        <v>16</v>
      </c>
      <c r="F12" s="47">
        <v>16</v>
      </c>
      <c r="G12" s="47">
        <v>12</v>
      </c>
      <c r="H12" s="124">
        <v>16</v>
      </c>
      <c r="I12" s="47"/>
      <c r="J12" s="48"/>
      <c r="K12" s="55">
        <f t="shared" si="0"/>
        <v>60</v>
      </c>
      <c r="L12" s="50">
        <f t="shared" si="1"/>
        <v>75</v>
      </c>
      <c r="M12" s="127" t="str">
        <f t="shared" si="2"/>
        <v>PASS</v>
      </c>
    </row>
    <row r="13" spans="1:13" ht="33" customHeight="1" x14ac:dyDescent="0.2">
      <c r="A13" s="43">
        <v>7</v>
      </c>
      <c r="B13" s="44" t="s">
        <v>611</v>
      </c>
      <c r="C13" s="49" t="s">
        <v>612</v>
      </c>
      <c r="D13" s="46"/>
      <c r="E13" s="120">
        <v>18</v>
      </c>
      <c r="F13" s="47">
        <v>15</v>
      </c>
      <c r="G13" s="47">
        <v>18</v>
      </c>
      <c r="H13" s="124">
        <v>18</v>
      </c>
      <c r="I13" s="47"/>
      <c r="J13" s="48"/>
      <c r="K13" s="55">
        <f t="shared" si="0"/>
        <v>69</v>
      </c>
      <c r="L13" s="50">
        <f t="shared" si="1"/>
        <v>86.25</v>
      </c>
      <c r="M13" s="127" t="str">
        <f t="shared" si="2"/>
        <v>PASS</v>
      </c>
    </row>
    <row r="14" spans="1:13" ht="33" customHeight="1" x14ac:dyDescent="0.2">
      <c r="A14" s="43">
        <v>8</v>
      </c>
      <c r="B14" s="44" t="s">
        <v>253</v>
      </c>
      <c r="C14" s="49" t="s">
        <v>254</v>
      </c>
      <c r="D14" s="46">
        <v>72.784810126582272</v>
      </c>
      <c r="E14" s="120">
        <v>19</v>
      </c>
      <c r="F14" s="47">
        <v>16</v>
      </c>
      <c r="G14" s="47">
        <v>19</v>
      </c>
      <c r="H14" s="47">
        <v>11</v>
      </c>
      <c r="I14" s="47"/>
      <c r="J14" s="48"/>
      <c r="K14" s="55">
        <f t="shared" si="0"/>
        <v>65</v>
      </c>
      <c r="L14" s="50">
        <f t="shared" si="1"/>
        <v>81.25</v>
      </c>
      <c r="M14" s="127" t="str">
        <f t="shared" si="2"/>
        <v>PASS</v>
      </c>
    </row>
    <row r="15" spans="1:13" ht="33" customHeight="1" x14ac:dyDescent="0.2">
      <c r="A15" s="43">
        <v>9</v>
      </c>
      <c r="B15" s="44" t="s">
        <v>245</v>
      </c>
      <c r="C15" s="45" t="s">
        <v>246</v>
      </c>
      <c r="D15" s="46">
        <v>89.506172839506178</v>
      </c>
      <c r="E15" s="120">
        <v>20</v>
      </c>
      <c r="F15" s="47">
        <v>18</v>
      </c>
      <c r="G15" s="47">
        <v>20</v>
      </c>
      <c r="H15" s="47">
        <v>15</v>
      </c>
      <c r="I15" s="47"/>
      <c r="J15" s="48"/>
      <c r="K15" s="55">
        <f t="shared" si="0"/>
        <v>73</v>
      </c>
      <c r="L15" s="50">
        <f t="shared" si="1"/>
        <v>91.25</v>
      </c>
      <c r="M15" s="127" t="str">
        <f t="shared" si="2"/>
        <v>PASS</v>
      </c>
    </row>
    <row r="16" spans="1:13" ht="33" customHeight="1" x14ac:dyDescent="0.2">
      <c r="A16" s="43">
        <v>10</v>
      </c>
      <c r="B16" s="44" t="s">
        <v>259</v>
      </c>
      <c r="C16" s="45" t="s">
        <v>260</v>
      </c>
      <c r="D16" s="46">
        <v>69.135802469135797</v>
      </c>
      <c r="E16" s="120">
        <v>18</v>
      </c>
      <c r="F16" s="47">
        <v>20</v>
      </c>
      <c r="G16" s="47">
        <v>20</v>
      </c>
      <c r="H16" s="47">
        <v>11</v>
      </c>
      <c r="I16" s="47"/>
      <c r="J16" s="48"/>
      <c r="K16" s="55">
        <f t="shared" si="0"/>
        <v>69</v>
      </c>
      <c r="L16" s="50">
        <f t="shared" si="1"/>
        <v>86.25</v>
      </c>
      <c r="M16" s="127" t="str">
        <f t="shared" si="2"/>
        <v>PASS</v>
      </c>
    </row>
    <row r="17" spans="1:13" ht="33" customHeight="1" x14ac:dyDescent="0.2">
      <c r="A17" s="43">
        <v>11</v>
      </c>
      <c r="B17" s="44" t="s">
        <v>249</v>
      </c>
      <c r="C17" s="45" t="s">
        <v>250</v>
      </c>
      <c r="D17" s="46">
        <v>74.691358024691354</v>
      </c>
      <c r="E17" s="120">
        <v>9</v>
      </c>
      <c r="F17" s="47">
        <v>17</v>
      </c>
      <c r="G17" s="47">
        <v>10</v>
      </c>
      <c r="H17" s="47">
        <v>12</v>
      </c>
      <c r="I17" s="47"/>
      <c r="J17" s="48"/>
      <c r="K17" s="55">
        <f t="shared" si="0"/>
        <v>48</v>
      </c>
      <c r="L17" s="50">
        <f t="shared" si="1"/>
        <v>60</v>
      </c>
      <c r="M17" s="127" t="str">
        <f t="shared" si="2"/>
        <v>PASS</v>
      </c>
    </row>
    <row r="18" spans="1:13" ht="33" customHeight="1" x14ac:dyDescent="0.2">
      <c r="A18" s="43">
        <v>12</v>
      </c>
      <c r="B18" s="44" t="s">
        <v>269</v>
      </c>
      <c r="C18" s="45" t="s">
        <v>270</v>
      </c>
      <c r="D18" s="46">
        <v>64.81481481481481</v>
      </c>
      <c r="E18" s="120">
        <v>15</v>
      </c>
      <c r="F18" s="47">
        <v>8</v>
      </c>
      <c r="G18" s="47">
        <v>16</v>
      </c>
      <c r="H18" s="47">
        <v>12</v>
      </c>
      <c r="I18" s="47"/>
      <c r="J18" s="48"/>
      <c r="K18" s="55">
        <f t="shared" si="0"/>
        <v>51</v>
      </c>
      <c r="L18" s="50">
        <f t="shared" si="1"/>
        <v>63.749999999999993</v>
      </c>
      <c r="M18" s="127" t="str">
        <f t="shared" si="2"/>
        <v>PASS</v>
      </c>
    </row>
    <row r="19" spans="1:13" ht="33" customHeight="1" x14ac:dyDescent="0.2">
      <c r="A19" s="43">
        <v>13</v>
      </c>
      <c r="B19" s="44" t="s">
        <v>277</v>
      </c>
      <c r="C19" s="45" t="s">
        <v>278</v>
      </c>
      <c r="D19" s="46">
        <v>62.962962962962962</v>
      </c>
      <c r="E19" s="120">
        <v>20</v>
      </c>
      <c r="F19" s="47">
        <v>19</v>
      </c>
      <c r="G19" s="47">
        <v>19</v>
      </c>
      <c r="H19" s="47">
        <v>19</v>
      </c>
      <c r="I19" s="47"/>
      <c r="J19" s="48"/>
      <c r="K19" s="55">
        <f t="shared" si="0"/>
        <v>77</v>
      </c>
      <c r="L19" s="50">
        <f t="shared" si="1"/>
        <v>96.25</v>
      </c>
      <c r="M19" s="127" t="str">
        <f t="shared" si="2"/>
        <v>PASS</v>
      </c>
    </row>
    <row r="20" spans="1:13" ht="33" customHeight="1" x14ac:dyDescent="0.2">
      <c r="A20" s="43">
        <v>14</v>
      </c>
      <c r="B20" s="44" t="s">
        <v>271</v>
      </c>
      <c r="C20" s="45" t="s">
        <v>272</v>
      </c>
      <c r="D20" s="46">
        <v>64.197530864197532</v>
      </c>
      <c r="E20" s="120">
        <v>19</v>
      </c>
      <c r="F20" s="47">
        <v>19</v>
      </c>
      <c r="G20" s="47">
        <v>16</v>
      </c>
      <c r="H20" s="47">
        <v>20</v>
      </c>
      <c r="I20" s="47"/>
      <c r="J20" s="48"/>
      <c r="K20" s="55">
        <f t="shared" si="0"/>
        <v>74</v>
      </c>
      <c r="L20" s="50">
        <f t="shared" si="1"/>
        <v>92.5</v>
      </c>
      <c r="M20" s="127" t="str">
        <f t="shared" si="2"/>
        <v>PASS</v>
      </c>
    </row>
    <row r="21" spans="1:13" ht="33" customHeight="1" x14ac:dyDescent="0.2">
      <c r="A21" s="43">
        <v>15</v>
      </c>
      <c r="B21" s="44" t="s">
        <v>273</v>
      </c>
      <c r="C21" s="45" t="s">
        <v>274</v>
      </c>
      <c r="D21" s="46">
        <v>64.197530864197532</v>
      </c>
      <c r="E21" s="120">
        <v>15</v>
      </c>
      <c r="F21" s="47">
        <v>15</v>
      </c>
      <c r="G21" s="47">
        <v>16</v>
      </c>
      <c r="H21" s="47">
        <v>20</v>
      </c>
      <c r="I21" s="47"/>
      <c r="J21" s="48"/>
      <c r="K21" s="55">
        <f t="shared" si="0"/>
        <v>66</v>
      </c>
      <c r="L21" s="50">
        <f t="shared" si="1"/>
        <v>82.5</v>
      </c>
      <c r="M21" s="127" t="str">
        <f t="shared" si="2"/>
        <v>PASS</v>
      </c>
    </row>
    <row r="22" spans="1:13" ht="33" customHeight="1" x14ac:dyDescent="0.2">
      <c r="A22" s="43">
        <v>16</v>
      </c>
      <c r="B22" s="44" t="s">
        <v>283</v>
      </c>
      <c r="C22" s="45" t="s">
        <v>284</v>
      </c>
      <c r="D22" s="46">
        <v>61.111111111111114</v>
      </c>
      <c r="E22" s="120">
        <v>9</v>
      </c>
      <c r="F22" s="47">
        <v>12</v>
      </c>
      <c r="G22" s="47">
        <v>10</v>
      </c>
      <c r="H22" s="47">
        <v>10</v>
      </c>
      <c r="I22" s="47"/>
      <c r="J22" s="48"/>
      <c r="K22" s="55">
        <f t="shared" si="0"/>
        <v>41</v>
      </c>
      <c r="L22" s="50">
        <f t="shared" si="1"/>
        <v>51.249999999999993</v>
      </c>
      <c r="M22" s="127" t="str">
        <f t="shared" si="2"/>
        <v>PASS</v>
      </c>
    </row>
    <row r="23" spans="1:13" ht="33" customHeight="1" x14ac:dyDescent="0.2">
      <c r="A23" s="43">
        <v>17</v>
      </c>
      <c r="B23" s="44" t="s">
        <v>267</v>
      </c>
      <c r="C23" s="45" t="s">
        <v>268</v>
      </c>
      <c r="D23" s="46">
        <v>66.049382716049394</v>
      </c>
      <c r="E23" s="120">
        <v>14</v>
      </c>
      <c r="F23" s="47">
        <v>16</v>
      </c>
      <c r="G23" s="47">
        <v>16</v>
      </c>
      <c r="H23" s="47">
        <v>16</v>
      </c>
      <c r="I23" s="47"/>
      <c r="J23" s="48"/>
      <c r="K23" s="55">
        <f t="shared" si="0"/>
        <v>62</v>
      </c>
      <c r="L23" s="50">
        <f t="shared" si="1"/>
        <v>77.5</v>
      </c>
      <c r="M23" s="127" t="str">
        <f t="shared" si="2"/>
        <v>PASS</v>
      </c>
    </row>
    <row r="24" spans="1:13" ht="33" customHeight="1" x14ac:dyDescent="0.2">
      <c r="A24" s="43">
        <v>18</v>
      </c>
      <c r="B24" s="44" t="s">
        <v>261</v>
      </c>
      <c r="C24" s="45" t="s">
        <v>262</v>
      </c>
      <c r="D24" s="46">
        <v>69.135802469135797</v>
      </c>
      <c r="E24" s="120">
        <v>20</v>
      </c>
      <c r="F24" s="47">
        <v>19</v>
      </c>
      <c r="G24" s="47">
        <v>20</v>
      </c>
      <c r="H24" s="47">
        <v>19</v>
      </c>
      <c r="I24" s="47"/>
      <c r="J24" s="48"/>
      <c r="K24" s="55">
        <f t="shared" si="0"/>
        <v>78</v>
      </c>
      <c r="L24" s="50">
        <f t="shared" si="1"/>
        <v>97.5</v>
      </c>
      <c r="M24" s="127" t="str">
        <f t="shared" si="2"/>
        <v>PASS</v>
      </c>
    </row>
    <row r="25" spans="1:13" ht="33" customHeight="1" x14ac:dyDescent="0.2">
      <c r="A25" s="43">
        <v>19</v>
      </c>
      <c r="B25" s="44" t="s">
        <v>287</v>
      </c>
      <c r="C25" s="45" t="s">
        <v>288</v>
      </c>
      <c r="D25" s="46">
        <v>59.876543209876544</v>
      </c>
      <c r="E25" s="120">
        <v>10</v>
      </c>
      <c r="F25" s="47">
        <v>16</v>
      </c>
      <c r="G25" s="47">
        <v>12</v>
      </c>
      <c r="H25" s="47">
        <v>16</v>
      </c>
      <c r="I25" s="47"/>
      <c r="J25" s="48"/>
      <c r="K25" s="55">
        <f t="shared" si="0"/>
        <v>54</v>
      </c>
      <c r="L25" s="50">
        <f t="shared" si="1"/>
        <v>67.5</v>
      </c>
      <c r="M25" s="127" t="str">
        <f t="shared" si="2"/>
        <v>PASS</v>
      </c>
    </row>
    <row r="26" spans="1:13" ht="33" customHeight="1" x14ac:dyDescent="0.2">
      <c r="A26" s="43">
        <v>20</v>
      </c>
      <c r="B26" s="44" t="s">
        <v>257</v>
      </c>
      <c r="C26" s="45" t="s">
        <v>258</v>
      </c>
      <c r="D26" s="46">
        <v>69.753086419753089</v>
      </c>
      <c r="E26" s="120">
        <v>12</v>
      </c>
      <c r="F26" s="47">
        <v>11</v>
      </c>
      <c r="G26" s="47">
        <v>8</v>
      </c>
      <c r="H26" s="47">
        <v>16</v>
      </c>
      <c r="I26" s="47"/>
      <c r="J26" s="48"/>
      <c r="K26" s="55">
        <f t="shared" si="0"/>
        <v>47</v>
      </c>
      <c r="L26" s="50">
        <f t="shared" si="1"/>
        <v>58.75</v>
      </c>
      <c r="M26" s="127" t="str">
        <f t="shared" si="2"/>
        <v>PASS</v>
      </c>
    </row>
    <row r="27" spans="1:13" ht="33" customHeight="1" x14ac:dyDescent="0.2">
      <c r="A27" s="43">
        <v>21</v>
      </c>
      <c r="B27" s="44" t="s">
        <v>251</v>
      </c>
      <c r="C27" s="45" t="s">
        <v>252</v>
      </c>
      <c r="D27" s="46">
        <v>74.691358024691354</v>
      </c>
      <c r="E27" s="120">
        <v>15</v>
      </c>
      <c r="F27" s="47">
        <v>12</v>
      </c>
      <c r="G27" s="47">
        <v>19</v>
      </c>
      <c r="H27" s="47">
        <v>10</v>
      </c>
      <c r="I27" s="47"/>
      <c r="J27" s="48"/>
      <c r="K27" s="55">
        <f t="shared" si="0"/>
        <v>56</v>
      </c>
      <c r="L27" s="50">
        <f t="shared" si="1"/>
        <v>70</v>
      </c>
      <c r="M27" s="127" t="str">
        <f t="shared" si="2"/>
        <v>PASS</v>
      </c>
    </row>
    <row r="28" spans="1:13" ht="33" customHeight="1" x14ac:dyDescent="0.2">
      <c r="A28" s="43">
        <v>22</v>
      </c>
      <c r="B28" s="44" t="s">
        <v>279</v>
      </c>
      <c r="C28" s="45" t="s">
        <v>280</v>
      </c>
      <c r="D28" s="46">
        <v>62.893081761006286</v>
      </c>
      <c r="E28" s="120">
        <v>14</v>
      </c>
      <c r="F28" s="47">
        <v>15</v>
      </c>
      <c r="G28" s="47">
        <v>18</v>
      </c>
      <c r="H28" s="47">
        <v>16</v>
      </c>
      <c r="I28" s="47"/>
      <c r="J28" s="48"/>
      <c r="K28" s="55">
        <f t="shared" si="0"/>
        <v>63</v>
      </c>
      <c r="L28" s="50">
        <f t="shared" si="1"/>
        <v>78.75</v>
      </c>
      <c r="M28" s="127" t="str">
        <f t="shared" si="2"/>
        <v>PASS</v>
      </c>
    </row>
    <row r="29" spans="1:13" ht="33" customHeight="1" x14ac:dyDescent="0.2">
      <c r="A29" s="43">
        <v>23</v>
      </c>
      <c r="B29" s="44" t="s">
        <v>285</v>
      </c>
      <c r="C29" s="45" t="s">
        <v>286</v>
      </c>
      <c r="D29" s="46">
        <v>60.629921259842526</v>
      </c>
      <c r="E29" s="120">
        <v>15</v>
      </c>
      <c r="F29" s="47">
        <v>11</v>
      </c>
      <c r="G29" s="47">
        <v>14</v>
      </c>
      <c r="H29" s="47">
        <v>20</v>
      </c>
      <c r="I29" s="47"/>
      <c r="J29" s="48"/>
      <c r="K29" s="55">
        <f t="shared" si="0"/>
        <v>60</v>
      </c>
      <c r="L29" s="50">
        <f t="shared" si="1"/>
        <v>75</v>
      </c>
      <c r="M29" s="127" t="str">
        <f t="shared" si="2"/>
        <v>PASS</v>
      </c>
    </row>
    <row r="30" spans="1:13" ht="15.75" customHeight="1" x14ac:dyDescent="0.2">
      <c r="H30" s="47">
        <v>12</v>
      </c>
    </row>
    <row r="31" spans="1:13" ht="27.75" customHeight="1" x14ac:dyDescent="0.2">
      <c r="C31" s="11"/>
      <c r="D31" s="11"/>
      <c r="E31" s="11"/>
      <c r="F31" s="11"/>
      <c r="G31" s="11"/>
      <c r="H31" s="47">
        <v>8</v>
      </c>
      <c r="I31" s="13"/>
      <c r="J31" s="9" t="s">
        <v>10</v>
      </c>
    </row>
    <row r="32" spans="1:13" ht="27.75" customHeight="1" x14ac:dyDescent="0.2">
      <c r="C32" s="14" t="s">
        <v>11</v>
      </c>
      <c r="D32" s="8"/>
      <c r="E32" s="9">
        <f>COUNTA(E7:E29)</f>
        <v>23</v>
      </c>
      <c r="F32" s="9">
        <f>COUNTA(F7:F29)</f>
        <v>23</v>
      </c>
      <c r="G32" s="9">
        <f>COUNTA(G7:G29)</f>
        <v>23</v>
      </c>
      <c r="H32" s="47">
        <v>19</v>
      </c>
      <c r="I32" s="9">
        <f>COUNTA(I7:I29)</f>
        <v>0</v>
      </c>
      <c r="J32" s="9">
        <f>COUNTA(K7:K29)</f>
        <v>23</v>
      </c>
    </row>
    <row r="33" spans="3:10" ht="27.75" customHeight="1" x14ac:dyDescent="0.2">
      <c r="C33" s="14" t="s">
        <v>12</v>
      </c>
      <c r="D33" s="8"/>
      <c r="E33" s="9">
        <f>COUNTIF(E7:E29,"A")</f>
        <v>0</v>
      </c>
      <c r="F33" s="9">
        <f>COUNTIF(F7:F29,"A")</f>
        <v>0</v>
      </c>
      <c r="G33" s="9">
        <f>COUNTIF(G7:G29,"A")</f>
        <v>0</v>
      </c>
      <c r="H33" s="47">
        <v>18</v>
      </c>
      <c r="I33" s="9">
        <f>COUNTIF(I7:I29,"A")</f>
        <v>0</v>
      </c>
      <c r="J33" s="9">
        <f>COUNTIF(M7:M29,"A")</f>
        <v>0</v>
      </c>
    </row>
    <row r="34" spans="3:10" ht="27.75" customHeight="1" x14ac:dyDescent="0.2">
      <c r="C34" s="14" t="s">
        <v>13</v>
      </c>
      <c r="D34" s="8"/>
      <c r="E34" s="9">
        <f>E32-E33</f>
        <v>23</v>
      </c>
      <c r="F34" s="9">
        <f>F32-F33</f>
        <v>23</v>
      </c>
      <c r="G34" s="9">
        <f>G32-G33</f>
        <v>23</v>
      </c>
      <c r="H34" s="47">
        <v>14</v>
      </c>
      <c r="I34" s="9">
        <f>I32-I33</f>
        <v>0</v>
      </c>
      <c r="J34" s="9">
        <f>J32-J33</f>
        <v>23</v>
      </c>
    </row>
    <row r="35" spans="3:10" ht="27.75" customHeight="1" x14ac:dyDescent="0.2">
      <c r="C35" s="14" t="s">
        <v>14</v>
      </c>
      <c r="D35" s="8"/>
      <c r="E35" s="9">
        <f>COUNTIF(E7:E29, "&gt;=7")</f>
        <v>23</v>
      </c>
      <c r="F35" s="9">
        <f>COUNTIF(F7:F29, "&gt;=7")</f>
        <v>23</v>
      </c>
      <c r="G35" s="9">
        <f>COUNTIF(G7:G29, "&gt;=7")</f>
        <v>23</v>
      </c>
      <c r="H35" s="9">
        <f>COUNTIF(H7:H29, "&gt;=7")</f>
        <v>23</v>
      </c>
      <c r="I35" s="9">
        <f>COUNTIF(I7:I29, "&gt;=22")</f>
        <v>0</v>
      </c>
      <c r="J35" s="9">
        <f>COUNTIF(M7:M29,"Pass")</f>
        <v>23</v>
      </c>
    </row>
    <row r="36" spans="3:10" ht="27.75" customHeight="1" x14ac:dyDescent="0.2">
      <c r="C36" s="14" t="s">
        <v>15</v>
      </c>
      <c r="D36" s="8"/>
      <c r="E36" s="15">
        <f t="shared" ref="E36:J36" si="3">E35/E34</f>
        <v>1</v>
      </c>
      <c r="F36" s="15">
        <f t="shared" si="3"/>
        <v>1</v>
      </c>
      <c r="G36" s="15">
        <f t="shared" si="3"/>
        <v>1</v>
      </c>
      <c r="H36" s="15">
        <f t="shared" si="3"/>
        <v>1.6428571428571428</v>
      </c>
      <c r="I36" s="15" t="e">
        <f t="shared" si="3"/>
        <v>#DIV/0!</v>
      </c>
      <c r="J36" s="15">
        <f t="shared" si="3"/>
        <v>1</v>
      </c>
    </row>
    <row r="37" spans="3:10" ht="15.75" customHeight="1" x14ac:dyDescent="0.2"/>
    <row r="38" spans="3:10" ht="15.75" customHeight="1" x14ac:dyDescent="0.2"/>
    <row r="39" spans="3:10" ht="15.75" customHeight="1" x14ac:dyDescent="0.2"/>
    <row r="40" spans="3:10" ht="15.75" customHeight="1" x14ac:dyDescent="0.2"/>
    <row r="41" spans="3:10" ht="15.75" customHeight="1" x14ac:dyDescent="0.2"/>
    <row r="42" spans="3:10" ht="15.75" customHeight="1" x14ac:dyDescent="0.2"/>
    <row r="43" spans="3:10" ht="15.75" customHeight="1" x14ac:dyDescent="0.2"/>
    <row r="44" spans="3:10" ht="15.75" customHeight="1" x14ac:dyDescent="0.2"/>
    <row r="45" spans="3:10" ht="15.75" customHeight="1" x14ac:dyDescent="0.2"/>
    <row r="46" spans="3:10" ht="15.75" customHeight="1" x14ac:dyDescent="0.2"/>
    <row r="47" spans="3:10" ht="15.75" customHeight="1" x14ac:dyDescent="0.2"/>
    <row r="48" spans="3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</sheetData>
  <autoFilter ref="A5:L6" xr:uid="{00000000-0009-0000-0000-000006000000}">
    <sortState xmlns:xlrd2="http://schemas.microsoft.com/office/spreadsheetml/2017/richdata2" ref="A8:L36">
      <sortCondition ref="B5:B6"/>
    </sortState>
  </autoFilter>
  <mergeCells count="11">
    <mergeCell ref="A1:J1"/>
    <mergeCell ref="A2:J2"/>
    <mergeCell ref="A3:J3"/>
    <mergeCell ref="A4:J4"/>
    <mergeCell ref="M5:M6"/>
    <mergeCell ref="D5:D6"/>
    <mergeCell ref="K5:K6"/>
    <mergeCell ref="L5:L6"/>
    <mergeCell ref="A5:A6"/>
    <mergeCell ref="B5:B6"/>
    <mergeCell ref="C5:C6"/>
  </mergeCells>
  <conditionalFormatting sqref="D7:D29">
    <cfRule type="cellIs" dxfId="0" priority="1" operator="lessThan">
      <formula>30</formula>
    </cfRule>
  </conditionalFormatting>
  <pageMargins left="0.70866141732283472" right="0.70866141732283472" top="0.74803149606299213" bottom="0.74803149606299213" header="0" footer="0"/>
  <pageSetup paperSize="9" scale="58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42"/>
  <sheetViews>
    <sheetView topLeftCell="A16" workbookViewId="0">
      <selection activeCell="K26" sqref="K26"/>
    </sheetView>
  </sheetViews>
  <sheetFormatPr defaultColWidth="12.5703125" defaultRowHeight="15" customHeight="1" x14ac:dyDescent="0.2"/>
  <cols>
    <col min="5" max="5" width="30.42578125" bestFit="1" customWidth="1"/>
    <col min="11" max="11" width="23.42578125" bestFit="1" customWidth="1"/>
  </cols>
  <sheetData>
    <row r="1" spans="1:11" ht="15" customHeight="1" x14ac:dyDescent="0.35">
      <c r="A1" s="215" t="s">
        <v>21</v>
      </c>
      <c r="B1" s="216"/>
      <c r="C1" s="216"/>
      <c r="D1" s="216"/>
      <c r="E1" s="216"/>
      <c r="F1" s="216"/>
      <c r="G1" s="216"/>
      <c r="H1" s="216"/>
      <c r="I1" s="216"/>
      <c r="J1" s="216"/>
      <c r="K1" s="217"/>
    </row>
    <row r="2" spans="1:11" ht="15" customHeight="1" x14ac:dyDescent="0.35">
      <c r="A2" s="218" t="s">
        <v>22</v>
      </c>
      <c r="B2" s="214"/>
      <c r="C2" s="214"/>
      <c r="D2" s="214"/>
      <c r="E2" s="214"/>
      <c r="F2" s="214"/>
      <c r="G2" s="214"/>
      <c r="H2" s="214"/>
      <c r="I2" s="214"/>
      <c r="J2" s="214"/>
      <c r="K2" s="219"/>
    </row>
    <row r="3" spans="1:11" ht="15" customHeight="1" x14ac:dyDescent="0.35">
      <c r="A3" s="218" t="s">
        <v>23</v>
      </c>
      <c r="B3" s="214"/>
      <c r="C3" s="214"/>
      <c r="D3" s="214"/>
      <c r="E3" s="214"/>
      <c r="F3" s="214"/>
      <c r="G3" s="214"/>
      <c r="H3" s="214"/>
      <c r="I3" s="214"/>
      <c r="J3" s="214"/>
      <c r="K3" s="219"/>
    </row>
    <row r="4" spans="1:11" ht="15" customHeight="1" x14ac:dyDescent="0.35">
      <c r="A4" s="220" t="s">
        <v>24</v>
      </c>
      <c r="B4" s="214"/>
      <c r="C4" s="21"/>
      <c r="D4" s="21"/>
      <c r="E4" s="21"/>
      <c r="F4" s="21"/>
      <c r="G4" s="221" t="s">
        <v>25</v>
      </c>
      <c r="H4" s="214"/>
      <c r="I4" s="214"/>
      <c r="J4" s="214"/>
      <c r="K4" s="219"/>
    </row>
    <row r="5" spans="1:11" ht="21" customHeight="1" x14ac:dyDescent="0.35">
      <c r="A5" s="22"/>
      <c r="B5" s="222" t="str">
        <f>"OVER ALL RESULT:-"&amp; TEXT(ABS(D8),"0.00%")</f>
        <v>OVER ALL RESULT:-94.59%</v>
      </c>
      <c r="C5" s="223"/>
      <c r="D5" s="223"/>
      <c r="E5" s="223"/>
      <c r="F5" s="223"/>
      <c r="G5" s="223"/>
      <c r="H5" s="223"/>
      <c r="I5" s="223"/>
      <c r="J5" s="23"/>
      <c r="K5" s="24"/>
    </row>
    <row r="6" spans="1:11" ht="15" customHeight="1" x14ac:dyDescent="0.35">
      <c r="A6" s="22"/>
      <c r="B6" s="21"/>
      <c r="C6" s="21"/>
      <c r="D6" s="21"/>
      <c r="E6" s="21"/>
      <c r="F6" s="21"/>
      <c r="G6" s="21"/>
      <c r="H6" s="224"/>
      <c r="I6" s="214"/>
      <c r="J6" s="214"/>
      <c r="K6" s="219"/>
    </row>
    <row r="7" spans="1:11" ht="15" customHeight="1" x14ac:dyDescent="0.3">
      <c r="A7" s="25" t="s">
        <v>26</v>
      </c>
      <c r="B7" s="25" t="s">
        <v>27</v>
      </c>
      <c r="C7" s="25" t="s">
        <v>28</v>
      </c>
      <c r="D7" s="25" t="s">
        <v>29</v>
      </c>
      <c r="E7" s="23"/>
      <c r="F7" s="21"/>
      <c r="G7" s="25" t="s">
        <v>26</v>
      </c>
      <c r="H7" s="25" t="s">
        <v>27</v>
      </c>
      <c r="I7" s="25" t="s">
        <v>28</v>
      </c>
      <c r="J7" s="25" t="s">
        <v>29</v>
      </c>
      <c r="K7" s="26"/>
    </row>
    <row r="8" spans="1:11" ht="15" customHeight="1" x14ac:dyDescent="0.3">
      <c r="A8" s="27" t="s">
        <v>30</v>
      </c>
      <c r="B8" s="25">
        <f>'6th A'!J23+'6th B'!J46+'6th C'!J34+'6th D'!J29+'6th E'!J34</f>
        <v>111</v>
      </c>
      <c r="C8" s="25">
        <f>'6th A'!J24+'6th B'!J47+'6th C'!J35+'6th D'!J30+'6th E'!J35</f>
        <v>105</v>
      </c>
      <c r="D8" s="28">
        <f>C8/B8</f>
        <v>0.94594594594594594</v>
      </c>
      <c r="E8" s="29"/>
      <c r="F8" s="21"/>
      <c r="G8" s="25" t="s">
        <v>31</v>
      </c>
      <c r="H8" s="25">
        <v>11</v>
      </c>
      <c r="I8" s="25">
        <v>1</v>
      </c>
      <c r="J8" s="28">
        <f t="shared" ref="J8:J9" si="0">I8/H8</f>
        <v>9.0909090909090912E-2</v>
      </c>
      <c r="K8" s="26"/>
    </row>
    <row r="9" spans="1:11" ht="15" customHeight="1" x14ac:dyDescent="0.3">
      <c r="A9" s="27" t="s">
        <v>6</v>
      </c>
      <c r="B9" s="25">
        <f t="shared" ref="B9:D9" si="1">B8</f>
        <v>111</v>
      </c>
      <c r="C9" s="25">
        <f t="shared" si="1"/>
        <v>105</v>
      </c>
      <c r="D9" s="28">
        <f t="shared" si="1"/>
        <v>0.94594594594594594</v>
      </c>
      <c r="E9" s="29"/>
      <c r="F9" s="21"/>
      <c r="G9" s="25" t="s">
        <v>6</v>
      </c>
      <c r="H9" s="25">
        <f>H8</f>
        <v>11</v>
      </c>
      <c r="I9" s="25">
        <v>1</v>
      </c>
      <c r="J9" s="28">
        <f t="shared" si="0"/>
        <v>9.0909090909090912E-2</v>
      </c>
      <c r="K9" s="26"/>
    </row>
    <row r="10" spans="1:11" ht="15" customHeight="1" x14ac:dyDescent="0.25">
      <c r="A10" s="22"/>
      <c r="B10" s="21"/>
      <c r="C10" s="21"/>
      <c r="D10" s="21"/>
      <c r="E10" s="21"/>
      <c r="F10" s="21"/>
      <c r="G10" s="21"/>
      <c r="H10" s="21"/>
      <c r="I10" s="21"/>
      <c r="J10" s="21"/>
      <c r="K10" s="24"/>
    </row>
    <row r="11" spans="1:11" ht="15" customHeight="1" x14ac:dyDescent="0.35">
      <c r="A11" s="218" t="s">
        <v>32</v>
      </c>
      <c r="B11" s="214"/>
      <c r="C11" s="214"/>
      <c r="D11" s="214"/>
      <c r="E11" s="214"/>
      <c r="F11" s="214"/>
      <c r="G11" s="214"/>
      <c r="H11" s="214"/>
      <c r="I11" s="214"/>
      <c r="J11" s="214"/>
      <c r="K11" s="219"/>
    </row>
    <row r="12" spans="1:11" ht="15" customHeight="1" x14ac:dyDescent="0.3">
      <c r="A12" s="210" t="s">
        <v>33</v>
      </c>
      <c r="B12" s="211"/>
      <c r="C12" s="211"/>
      <c r="D12" s="211"/>
      <c r="E12" s="212"/>
      <c r="F12" s="21"/>
      <c r="G12" s="210" t="s">
        <v>34</v>
      </c>
      <c r="H12" s="211"/>
      <c r="I12" s="211"/>
      <c r="J12" s="211"/>
      <c r="K12" s="212"/>
    </row>
    <row r="13" spans="1:11" ht="15" customHeight="1" x14ac:dyDescent="0.3">
      <c r="A13" s="25" t="s">
        <v>35</v>
      </c>
      <c r="B13" s="25" t="s">
        <v>27</v>
      </c>
      <c r="C13" s="25" t="s">
        <v>28</v>
      </c>
      <c r="D13" s="25" t="s">
        <v>29</v>
      </c>
      <c r="E13" s="25" t="s">
        <v>36</v>
      </c>
      <c r="F13" s="21"/>
      <c r="G13" s="25" t="s">
        <v>35</v>
      </c>
      <c r="H13" s="25" t="s">
        <v>27</v>
      </c>
      <c r="I13" s="25" t="s">
        <v>28</v>
      </c>
      <c r="J13" s="25" t="s">
        <v>29</v>
      </c>
      <c r="K13" s="30" t="s">
        <v>36</v>
      </c>
    </row>
    <row r="14" spans="1:11" ht="15" customHeight="1" x14ac:dyDescent="0.3">
      <c r="A14" s="25" t="s">
        <v>9</v>
      </c>
      <c r="B14" s="25">
        <f>'6th A'!E23</f>
        <v>12</v>
      </c>
      <c r="C14" s="25">
        <f>'6th A'!E24</f>
        <v>12</v>
      </c>
      <c r="D14" s="28">
        <f t="shared" ref="D14:D20" si="2">C14/B14</f>
        <v>1</v>
      </c>
      <c r="E14" s="25" t="s">
        <v>37</v>
      </c>
      <c r="F14" s="21"/>
      <c r="G14" s="25" t="s">
        <v>9</v>
      </c>
      <c r="H14" s="25">
        <f>'6th A'!F23</f>
        <v>12</v>
      </c>
      <c r="I14" s="25">
        <f>'6th A'!F24</f>
        <v>12</v>
      </c>
      <c r="J14" s="28">
        <f t="shared" ref="J14:J20" si="3">I14/H14</f>
        <v>1</v>
      </c>
      <c r="K14" s="30" t="s">
        <v>38</v>
      </c>
    </row>
    <row r="15" spans="1:11" ht="15" customHeight="1" x14ac:dyDescent="0.3">
      <c r="A15" s="25" t="s">
        <v>39</v>
      </c>
      <c r="B15" s="25">
        <f>'6th B'!E46</f>
        <v>35</v>
      </c>
      <c r="C15" s="25">
        <f>'6th B'!E47</f>
        <v>35</v>
      </c>
      <c r="D15" s="28">
        <f t="shared" si="2"/>
        <v>1</v>
      </c>
      <c r="E15" s="25" t="s">
        <v>40</v>
      </c>
      <c r="F15" s="21"/>
      <c r="G15" s="25" t="s">
        <v>39</v>
      </c>
      <c r="H15" s="25">
        <f>'6th B'!F46</f>
        <v>35</v>
      </c>
      <c r="I15" s="25">
        <f>'6th B'!F47</f>
        <v>35</v>
      </c>
      <c r="J15" s="28">
        <f t="shared" si="3"/>
        <v>1</v>
      </c>
      <c r="K15" s="30" t="s">
        <v>41</v>
      </c>
    </row>
    <row r="16" spans="1:11" ht="15" customHeight="1" x14ac:dyDescent="0.3">
      <c r="A16" s="25" t="s">
        <v>42</v>
      </c>
      <c r="B16" s="25">
        <f>'6th C'!E34</f>
        <v>23</v>
      </c>
      <c r="C16" s="25">
        <f>'6th C'!E35</f>
        <v>23</v>
      </c>
      <c r="D16" s="28">
        <f t="shared" si="2"/>
        <v>1</v>
      </c>
      <c r="E16" s="25" t="s">
        <v>40</v>
      </c>
      <c r="F16" s="21"/>
      <c r="G16" s="25" t="s">
        <v>42</v>
      </c>
      <c r="H16" s="25">
        <f>'6th C'!F34</f>
        <v>23</v>
      </c>
      <c r="I16" s="25">
        <f>'6th C'!F35</f>
        <v>23</v>
      </c>
      <c r="J16" s="28">
        <f t="shared" si="3"/>
        <v>1</v>
      </c>
      <c r="K16" s="30" t="s">
        <v>41</v>
      </c>
    </row>
    <row r="17" spans="1:11" ht="15" customHeight="1" x14ac:dyDescent="0.3">
      <c r="A17" s="25" t="s">
        <v>43</v>
      </c>
      <c r="B17" s="25">
        <f>'6th D'!E29</f>
        <v>19</v>
      </c>
      <c r="C17" s="25">
        <f>'6th D'!E30</f>
        <v>19</v>
      </c>
      <c r="D17" s="28">
        <f t="shared" si="2"/>
        <v>1</v>
      </c>
      <c r="E17" s="25" t="s">
        <v>40</v>
      </c>
      <c r="F17" s="21"/>
      <c r="G17" s="25" t="s">
        <v>43</v>
      </c>
      <c r="H17" s="25">
        <f>'6th D'!F29</f>
        <v>19</v>
      </c>
      <c r="I17" s="25">
        <f>'6th D'!F30</f>
        <v>16</v>
      </c>
      <c r="J17" s="28">
        <f t="shared" si="3"/>
        <v>0.84210526315789469</v>
      </c>
      <c r="K17" s="30" t="s">
        <v>38</v>
      </c>
    </row>
    <row r="18" spans="1:11" ht="15" customHeight="1" x14ac:dyDescent="0.3">
      <c r="A18" s="25" t="s">
        <v>44</v>
      </c>
      <c r="B18" s="25">
        <f>'6th E'!E34</f>
        <v>23</v>
      </c>
      <c r="C18" s="25">
        <f>'6th E'!E35</f>
        <v>23</v>
      </c>
      <c r="D18" s="28">
        <f t="shared" si="2"/>
        <v>1</v>
      </c>
      <c r="E18" s="25" t="s">
        <v>40</v>
      </c>
      <c r="F18" s="21"/>
      <c r="G18" s="25" t="s">
        <v>44</v>
      </c>
      <c r="H18" s="25">
        <f>'6th E'!F34</f>
        <v>23</v>
      </c>
      <c r="I18" s="25">
        <f>'6th E'!F35</f>
        <v>23</v>
      </c>
      <c r="J18" s="28">
        <f t="shared" si="3"/>
        <v>1</v>
      </c>
      <c r="K18" s="30" t="s">
        <v>38</v>
      </c>
    </row>
    <row r="19" spans="1:11" ht="15" customHeight="1" x14ac:dyDescent="0.3">
      <c r="A19" s="25" t="s">
        <v>30</v>
      </c>
      <c r="B19" s="25">
        <f t="shared" ref="B19:C19" si="4">SUM(B14:B18)</f>
        <v>112</v>
      </c>
      <c r="C19" s="25">
        <f t="shared" si="4"/>
        <v>112</v>
      </c>
      <c r="D19" s="28">
        <f t="shared" si="2"/>
        <v>1</v>
      </c>
      <c r="E19" s="25"/>
      <c r="F19" s="21"/>
      <c r="G19" s="25" t="s">
        <v>30</v>
      </c>
      <c r="H19" s="25">
        <f t="shared" ref="H19:I19" si="5">SUM(H14:H18)</f>
        <v>112</v>
      </c>
      <c r="I19" s="25">
        <f t="shared" si="5"/>
        <v>109</v>
      </c>
      <c r="J19" s="28">
        <f t="shared" si="3"/>
        <v>0.9732142857142857</v>
      </c>
      <c r="K19" s="30"/>
    </row>
    <row r="20" spans="1:11" ht="15" customHeight="1" x14ac:dyDescent="0.3">
      <c r="A20" s="25" t="s">
        <v>6</v>
      </c>
      <c r="B20" s="25">
        <f t="shared" ref="B20:C20" si="6">B19</f>
        <v>112</v>
      </c>
      <c r="C20" s="25">
        <f t="shared" si="6"/>
        <v>112</v>
      </c>
      <c r="D20" s="28">
        <f t="shared" si="2"/>
        <v>1</v>
      </c>
      <c r="E20" s="25"/>
      <c r="F20" s="21"/>
      <c r="G20" s="25" t="s">
        <v>6</v>
      </c>
      <c r="H20" s="25">
        <f t="shared" ref="H20:I20" si="7">H19</f>
        <v>112</v>
      </c>
      <c r="I20" s="25">
        <f t="shared" si="7"/>
        <v>109</v>
      </c>
      <c r="J20" s="28">
        <f t="shared" si="3"/>
        <v>0.9732142857142857</v>
      </c>
      <c r="K20" s="30"/>
    </row>
    <row r="21" spans="1:11" ht="15" customHeight="1" x14ac:dyDescent="0.25">
      <c r="A21" s="22"/>
      <c r="B21" s="21"/>
      <c r="C21" s="21"/>
      <c r="D21" s="21"/>
      <c r="E21" s="21"/>
      <c r="F21" s="21"/>
      <c r="G21" s="21"/>
      <c r="H21" s="21"/>
      <c r="I21" s="21"/>
      <c r="J21" s="21"/>
      <c r="K21" s="24"/>
    </row>
    <row r="22" spans="1:11" ht="15" customHeight="1" x14ac:dyDescent="0.3">
      <c r="A22" s="210" t="s">
        <v>45</v>
      </c>
      <c r="B22" s="211"/>
      <c r="C22" s="211"/>
      <c r="D22" s="211"/>
      <c r="E22" s="212"/>
      <c r="F22" s="21"/>
      <c r="G22" s="210" t="s">
        <v>46</v>
      </c>
      <c r="H22" s="211"/>
      <c r="I22" s="211"/>
      <c r="J22" s="211"/>
      <c r="K22" s="212"/>
    </row>
    <row r="23" spans="1:11" ht="15" customHeight="1" x14ac:dyDescent="0.3">
      <c r="A23" s="25" t="s">
        <v>35</v>
      </c>
      <c r="B23" s="25" t="s">
        <v>27</v>
      </c>
      <c r="C23" s="25" t="s">
        <v>28</v>
      </c>
      <c r="D23" s="25" t="s">
        <v>29</v>
      </c>
      <c r="E23" s="25" t="s">
        <v>36</v>
      </c>
      <c r="F23" s="21"/>
      <c r="G23" s="25" t="s">
        <v>35</v>
      </c>
      <c r="H23" s="25" t="s">
        <v>27</v>
      </c>
      <c r="I23" s="25" t="s">
        <v>28</v>
      </c>
      <c r="J23" s="25" t="s">
        <v>29</v>
      </c>
      <c r="K23" s="30" t="s">
        <v>36</v>
      </c>
    </row>
    <row r="24" spans="1:11" ht="18.75" x14ac:dyDescent="0.3">
      <c r="A24" s="25" t="s">
        <v>9</v>
      </c>
      <c r="B24" s="25">
        <f>'6th A'!G23</f>
        <v>12</v>
      </c>
      <c r="C24" s="25">
        <f>'6th A'!G24</f>
        <v>12</v>
      </c>
      <c r="D24" s="28">
        <f t="shared" ref="D24:D30" si="8">C24/B24</f>
        <v>1</v>
      </c>
      <c r="E24" s="25" t="s">
        <v>47</v>
      </c>
      <c r="F24" s="21"/>
      <c r="G24" s="25" t="s">
        <v>9</v>
      </c>
      <c r="H24" s="25">
        <f>'6th A'!H23</f>
        <v>12</v>
      </c>
      <c r="I24" s="25">
        <f>'6th A'!H24</f>
        <v>12</v>
      </c>
      <c r="J24" s="28">
        <f t="shared" ref="J24:J30" si="9">I24/H24</f>
        <v>1</v>
      </c>
      <c r="K24" s="25" t="s">
        <v>48</v>
      </c>
    </row>
    <row r="25" spans="1:11" ht="18.75" x14ac:dyDescent="0.3">
      <c r="A25" s="25" t="s">
        <v>39</v>
      </c>
      <c r="B25" s="25">
        <f>'6th B'!G46</f>
        <v>34</v>
      </c>
      <c r="C25" s="25">
        <f>'6th B'!G47</f>
        <v>32</v>
      </c>
      <c r="D25" s="28">
        <f t="shared" si="8"/>
        <v>0.94117647058823528</v>
      </c>
      <c r="E25" s="25" t="s">
        <v>49</v>
      </c>
      <c r="F25" s="21"/>
      <c r="G25" s="25" t="s">
        <v>39</v>
      </c>
      <c r="H25" s="25">
        <f>'6th B'!H46</f>
        <v>34</v>
      </c>
      <c r="I25" s="25">
        <f>'6th B'!H47</f>
        <v>34</v>
      </c>
      <c r="J25" s="28">
        <f t="shared" si="9"/>
        <v>1</v>
      </c>
      <c r="K25" s="25" t="s">
        <v>48</v>
      </c>
    </row>
    <row r="26" spans="1:11" ht="18.75" x14ac:dyDescent="0.3">
      <c r="A26" s="25" t="s">
        <v>42</v>
      </c>
      <c r="B26" s="25">
        <f>'6th C'!G34</f>
        <v>23</v>
      </c>
      <c r="C26" s="25">
        <f>'6th C'!G35</f>
        <v>23</v>
      </c>
      <c r="D26" s="28">
        <f t="shared" si="8"/>
        <v>1</v>
      </c>
      <c r="E26" s="25" t="s">
        <v>50</v>
      </c>
      <c r="F26" s="21"/>
      <c r="G26" s="25" t="s">
        <v>42</v>
      </c>
      <c r="H26" s="25">
        <f>'6th C'!H34</f>
        <v>23</v>
      </c>
      <c r="I26" s="25">
        <f>'6th C'!H35</f>
        <v>23</v>
      </c>
      <c r="J26" s="28">
        <f t="shared" si="9"/>
        <v>1</v>
      </c>
      <c r="K26" s="25" t="s">
        <v>51</v>
      </c>
    </row>
    <row r="27" spans="1:11" ht="18.75" x14ac:dyDescent="0.3">
      <c r="A27" s="25" t="s">
        <v>43</v>
      </c>
      <c r="B27" s="25">
        <f>'6th D'!G29</f>
        <v>19</v>
      </c>
      <c r="C27" s="25">
        <f>'6th D'!G30</f>
        <v>17</v>
      </c>
      <c r="D27" s="28">
        <f t="shared" si="8"/>
        <v>0.89473684210526316</v>
      </c>
      <c r="E27" s="25" t="s">
        <v>50</v>
      </c>
      <c r="F27" s="21"/>
      <c r="G27" s="25" t="s">
        <v>43</v>
      </c>
      <c r="H27" s="25">
        <f>'6th D'!H29</f>
        <v>18</v>
      </c>
      <c r="I27" s="25">
        <f>'6th D'!H30</f>
        <v>15</v>
      </c>
      <c r="J27" s="28">
        <f t="shared" si="9"/>
        <v>0.83333333333333337</v>
      </c>
      <c r="K27" s="25" t="s">
        <v>52</v>
      </c>
    </row>
    <row r="28" spans="1:11" ht="18.75" x14ac:dyDescent="0.3">
      <c r="A28" s="25" t="s">
        <v>44</v>
      </c>
      <c r="B28" s="25">
        <f>'6th E'!G34</f>
        <v>23</v>
      </c>
      <c r="C28" s="25">
        <f>'6th E'!G35</f>
        <v>23</v>
      </c>
      <c r="D28" s="28">
        <f t="shared" si="8"/>
        <v>1</v>
      </c>
      <c r="E28" s="25" t="s">
        <v>47</v>
      </c>
      <c r="F28" s="21"/>
      <c r="G28" s="25" t="s">
        <v>44</v>
      </c>
      <c r="H28" s="25">
        <f>'6th E'!H34</f>
        <v>14</v>
      </c>
      <c r="I28" s="25">
        <f>'6th E'!H35</f>
        <v>23</v>
      </c>
      <c r="J28" s="28">
        <f t="shared" si="9"/>
        <v>1.6428571428571428</v>
      </c>
      <c r="K28" s="25" t="s">
        <v>52</v>
      </c>
    </row>
    <row r="29" spans="1:11" ht="18.75" x14ac:dyDescent="0.3">
      <c r="A29" s="25" t="s">
        <v>30</v>
      </c>
      <c r="B29" s="25">
        <f t="shared" ref="B29:C29" si="10">SUM(B24:B28)</f>
        <v>111</v>
      </c>
      <c r="C29" s="25">
        <f t="shared" si="10"/>
        <v>107</v>
      </c>
      <c r="D29" s="28">
        <f t="shared" si="8"/>
        <v>0.963963963963964</v>
      </c>
      <c r="E29" s="25"/>
      <c r="F29" s="21"/>
      <c r="G29" s="25" t="s">
        <v>30</v>
      </c>
      <c r="H29" s="25">
        <f t="shared" ref="H29:I29" si="11">SUM(H24:H28)</f>
        <v>101</v>
      </c>
      <c r="I29" s="25">
        <f t="shared" si="11"/>
        <v>107</v>
      </c>
      <c r="J29" s="28">
        <f t="shared" si="9"/>
        <v>1.0594059405940595</v>
      </c>
      <c r="K29" s="25"/>
    </row>
    <row r="30" spans="1:11" ht="18.75" x14ac:dyDescent="0.3">
      <c r="A30" s="25" t="s">
        <v>6</v>
      </c>
      <c r="B30" s="25">
        <f t="shared" ref="B30:C30" si="12">B29</f>
        <v>111</v>
      </c>
      <c r="C30" s="25">
        <f t="shared" si="12"/>
        <v>107</v>
      </c>
      <c r="D30" s="28">
        <f t="shared" si="8"/>
        <v>0.963963963963964</v>
      </c>
      <c r="E30" s="25"/>
      <c r="F30" s="21"/>
      <c r="G30" s="25" t="s">
        <v>6</v>
      </c>
      <c r="H30" s="25">
        <f t="shared" ref="H30:I30" si="13">H29</f>
        <v>101</v>
      </c>
      <c r="I30" s="25">
        <f t="shared" si="13"/>
        <v>107</v>
      </c>
      <c r="J30" s="28">
        <f t="shared" si="9"/>
        <v>1.0594059405940595</v>
      </c>
      <c r="K30" s="25"/>
    </row>
    <row r="31" spans="1:11" x14ac:dyDescent="0.25">
      <c r="A31" s="22"/>
      <c r="B31" s="21"/>
      <c r="C31" s="21"/>
      <c r="D31" s="21"/>
      <c r="E31" s="21"/>
      <c r="F31" s="21"/>
      <c r="G31" s="21"/>
      <c r="H31" s="21"/>
      <c r="I31" s="21"/>
      <c r="J31" s="21"/>
      <c r="K31" s="24"/>
    </row>
    <row r="32" spans="1:11" ht="18.75" x14ac:dyDescent="0.3">
      <c r="A32" s="210" t="s">
        <v>53</v>
      </c>
      <c r="B32" s="211"/>
      <c r="C32" s="211"/>
      <c r="D32" s="211"/>
      <c r="E32" s="212"/>
      <c r="F32" s="21"/>
      <c r="G32" s="21"/>
      <c r="H32" s="21"/>
      <c r="I32" s="21"/>
      <c r="J32" s="21"/>
      <c r="K32" s="24"/>
    </row>
    <row r="33" spans="1:11" ht="18.75" x14ac:dyDescent="0.3">
      <c r="A33" s="25" t="s">
        <v>35</v>
      </c>
      <c r="B33" s="25" t="s">
        <v>27</v>
      </c>
      <c r="C33" s="25" t="s">
        <v>28</v>
      </c>
      <c r="D33" s="25" t="s">
        <v>29</v>
      </c>
      <c r="E33" s="25" t="s">
        <v>36</v>
      </c>
      <c r="F33" s="21"/>
      <c r="G33" s="21"/>
      <c r="H33" s="21"/>
      <c r="I33" s="21"/>
      <c r="J33" s="21"/>
      <c r="K33" s="24"/>
    </row>
    <row r="34" spans="1:11" ht="18.75" x14ac:dyDescent="0.3">
      <c r="A34" s="25" t="s">
        <v>9</v>
      </c>
      <c r="B34" s="25" t="e">
        <f>'6th A'!#REF!</f>
        <v>#REF!</v>
      </c>
      <c r="C34" s="25" t="e">
        <f>'6th A'!#REF!</f>
        <v>#REF!</v>
      </c>
      <c r="D34" s="28" t="e">
        <f t="shared" ref="D34:D40" si="14">C34/B34</f>
        <v>#REF!</v>
      </c>
      <c r="E34" s="25" t="s">
        <v>54</v>
      </c>
      <c r="F34" s="21"/>
      <c r="G34" s="21"/>
      <c r="H34" s="21"/>
      <c r="I34" s="21"/>
      <c r="J34" s="21"/>
      <c r="K34" s="24"/>
    </row>
    <row r="35" spans="1:11" ht="18.75" x14ac:dyDescent="0.3">
      <c r="A35" s="25" t="s">
        <v>39</v>
      </c>
      <c r="B35" s="25">
        <f>'6th B'!I46</f>
        <v>0</v>
      </c>
      <c r="C35" s="25">
        <f>'6th B'!I47</f>
        <v>0</v>
      </c>
      <c r="D35" s="28" t="e">
        <f t="shared" si="14"/>
        <v>#DIV/0!</v>
      </c>
      <c r="E35" s="25" t="s">
        <v>54</v>
      </c>
      <c r="F35" s="21"/>
      <c r="G35" s="21"/>
      <c r="H35" s="21"/>
      <c r="I35" s="21"/>
      <c r="J35" s="21"/>
      <c r="K35" s="24"/>
    </row>
    <row r="36" spans="1:11" ht="18.75" x14ac:dyDescent="0.3">
      <c r="A36" s="25" t="s">
        <v>42</v>
      </c>
      <c r="B36" s="25">
        <f>'6th C'!I34</f>
        <v>0</v>
      </c>
      <c r="C36" s="25">
        <f>'6th C'!I35</f>
        <v>0</v>
      </c>
      <c r="D36" s="28" t="e">
        <f t="shared" si="14"/>
        <v>#DIV/0!</v>
      </c>
      <c r="E36" s="25" t="s">
        <v>55</v>
      </c>
      <c r="F36" s="21"/>
      <c r="G36" s="21"/>
      <c r="H36" s="21"/>
      <c r="I36" s="21"/>
      <c r="J36" s="21"/>
      <c r="K36" s="24"/>
    </row>
    <row r="37" spans="1:11" ht="18.75" x14ac:dyDescent="0.3">
      <c r="A37" s="25" t="s">
        <v>43</v>
      </c>
      <c r="B37" s="25">
        <f>'6th D'!I29</f>
        <v>0</v>
      </c>
      <c r="C37" s="25">
        <f>'6th D'!I30</f>
        <v>0</v>
      </c>
      <c r="D37" s="28" t="e">
        <f t="shared" si="14"/>
        <v>#DIV/0!</v>
      </c>
      <c r="E37" s="25" t="s">
        <v>56</v>
      </c>
      <c r="F37" s="21"/>
      <c r="G37" s="21"/>
      <c r="H37" s="21"/>
      <c r="I37" s="21"/>
      <c r="J37" s="21"/>
      <c r="K37" s="24"/>
    </row>
    <row r="38" spans="1:11" ht="18.75" x14ac:dyDescent="0.3">
      <c r="A38" s="25" t="s">
        <v>44</v>
      </c>
      <c r="B38" s="25">
        <f>'6th E'!I34</f>
        <v>0</v>
      </c>
      <c r="C38" s="25">
        <f>'6th E'!I35</f>
        <v>0</v>
      </c>
      <c r="D38" s="28" t="e">
        <f t="shared" si="14"/>
        <v>#DIV/0!</v>
      </c>
      <c r="E38" s="25" t="s">
        <v>55</v>
      </c>
      <c r="F38" s="21"/>
      <c r="G38" s="21"/>
      <c r="H38" s="21"/>
      <c r="I38" s="21"/>
      <c r="J38" s="21"/>
      <c r="K38" s="24"/>
    </row>
    <row r="39" spans="1:11" ht="18.75" x14ac:dyDescent="0.3">
      <c r="A39" s="25" t="s">
        <v>30</v>
      </c>
      <c r="B39" s="25" t="e">
        <f t="shared" ref="B39:C39" si="15">SUM(B34:B38)</f>
        <v>#REF!</v>
      </c>
      <c r="C39" s="25" t="e">
        <f t="shared" si="15"/>
        <v>#REF!</v>
      </c>
      <c r="D39" s="28" t="e">
        <f t="shared" si="14"/>
        <v>#REF!</v>
      </c>
      <c r="E39" s="25"/>
      <c r="F39" s="21"/>
      <c r="G39" s="21"/>
      <c r="H39" s="21"/>
      <c r="I39" s="21"/>
      <c r="J39" s="21"/>
      <c r="K39" s="24"/>
    </row>
    <row r="40" spans="1:11" ht="18.75" x14ac:dyDescent="0.3">
      <c r="A40" s="25" t="s">
        <v>6</v>
      </c>
      <c r="B40" s="25" t="e">
        <f t="shared" ref="B40:C40" si="16">B39</f>
        <v>#REF!</v>
      </c>
      <c r="C40" s="25" t="e">
        <f t="shared" si="16"/>
        <v>#REF!</v>
      </c>
      <c r="D40" s="28" t="e">
        <f t="shared" si="14"/>
        <v>#REF!</v>
      </c>
      <c r="E40" s="25"/>
      <c r="F40" s="21"/>
      <c r="G40" s="21"/>
      <c r="H40" s="21"/>
      <c r="I40" s="21"/>
      <c r="J40" s="21"/>
      <c r="K40" s="24"/>
    </row>
    <row r="41" spans="1:11" x14ac:dyDescent="0.25">
      <c r="A41" s="22"/>
      <c r="B41" s="21"/>
      <c r="C41" s="21"/>
      <c r="D41" s="21"/>
      <c r="E41" s="21"/>
      <c r="F41" s="21"/>
      <c r="G41" s="21"/>
      <c r="H41" s="213" t="s">
        <v>57</v>
      </c>
      <c r="I41" s="214"/>
      <c r="J41" s="23"/>
      <c r="K41" s="24"/>
    </row>
    <row r="42" spans="1:11" x14ac:dyDescent="0.25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33"/>
    </row>
  </sheetData>
  <mergeCells count="14">
    <mergeCell ref="A32:E32"/>
    <mergeCell ref="H41:I41"/>
    <mergeCell ref="A1:K1"/>
    <mergeCell ref="A2:K2"/>
    <mergeCell ref="A3:K3"/>
    <mergeCell ref="A4:B4"/>
    <mergeCell ref="G4:K4"/>
    <mergeCell ref="B5:I5"/>
    <mergeCell ref="H6:K6"/>
    <mergeCell ref="A11:K11"/>
    <mergeCell ref="A12:E12"/>
    <mergeCell ref="G12:K12"/>
    <mergeCell ref="A22:E22"/>
    <mergeCell ref="G22:K2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377B8-A6F6-4456-8675-F6DCCA2E98FE}">
  <sheetPr>
    <pageSetUpPr fitToPage="1"/>
  </sheetPr>
  <dimension ref="A1:G13"/>
  <sheetViews>
    <sheetView topLeftCell="A8" zoomScale="55" zoomScaleNormal="55" workbookViewId="0">
      <selection activeCell="K10" sqref="K10"/>
    </sheetView>
  </sheetViews>
  <sheetFormatPr defaultRowHeight="15" x14ac:dyDescent="0.25"/>
  <cols>
    <col min="1" max="1" width="10.140625" style="73" bestFit="1" customWidth="1"/>
    <col min="2" max="2" width="22.7109375" style="74" customWidth="1"/>
    <col min="3" max="3" width="22.7109375" style="74" hidden="1" customWidth="1"/>
    <col min="4" max="4" width="22.7109375" style="74" customWidth="1"/>
    <col min="5" max="5" width="79" style="73" customWidth="1"/>
    <col min="6" max="6" width="23.7109375" style="73" customWidth="1"/>
    <col min="7" max="7" width="21" style="75" customWidth="1"/>
    <col min="8" max="16384" width="9.140625" style="73"/>
  </cols>
  <sheetData>
    <row r="1" spans="1:7" ht="56.25" customHeight="1" x14ac:dyDescent="0.25">
      <c r="A1" s="227" t="s">
        <v>289</v>
      </c>
      <c r="B1" s="227"/>
      <c r="C1" s="227"/>
      <c r="D1" s="227"/>
      <c r="E1" s="227"/>
      <c r="F1" s="227"/>
      <c r="G1" s="227"/>
    </row>
    <row r="2" spans="1:7" ht="39" customHeight="1" x14ac:dyDescent="0.25">
      <c r="A2" s="227" t="s">
        <v>299</v>
      </c>
      <c r="B2" s="227"/>
      <c r="C2" s="227"/>
      <c r="D2" s="227"/>
      <c r="E2" s="227"/>
      <c r="F2" s="227"/>
      <c r="G2" s="227"/>
    </row>
    <row r="3" spans="1:7" ht="39" customHeight="1" x14ac:dyDescent="0.25">
      <c r="A3" s="227" t="s">
        <v>298</v>
      </c>
      <c r="B3" s="227"/>
      <c r="C3" s="227"/>
      <c r="D3" s="227"/>
      <c r="E3" s="227"/>
      <c r="F3" s="227"/>
      <c r="G3" s="227"/>
    </row>
    <row r="4" spans="1:7" ht="39" customHeight="1" x14ac:dyDescent="0.25">
      <c r="A4" s="227"/>
      <c r="B4" s="227"/>
      <c r="C4" s="227"/>
      <c r="D4" s="227"/>
      <c r="E4" s="227"/>
      <c r="F4" s="227"/>
      <c r="G4" s="227"/>
    </row>
    <row r="5" spans="1:7" ht="85.5" x14ac:dyDescent="0.25">
      <c r="A5" s="110" t="s">
        <v>290</v>
      </c>
      <c r="B5" s="110" t="s">
        <v>291</v>
      </c>
      <c r="C5" s="110" t="s">
        <v>292</v>
      </c>
      <c r="D5" s="110" t="s">
        <v>35</v>
      </c>
      <c r="E5" s="110" t="s">
        <v>293</v>
      </c>
      <c r="F5" s="111" t="s">
        <v>294</v>
      </c>
      <c r="G5" s="110" t="s">
        <v>295</v>
      </c>
    </row>
    <row r="6" spans="1:7" ht="53.1" customHeight="1" x14ac:dyDescent="0.25">
      <c r="A6" s="110">
        <v>1</v>
      </c>
      <c r="B6" s="112" t="s">
        <v>296</v>
      </c>
      <c r="C6" s="112"/>
      <c r="D6" s="112" t="s">
        <v>9</v>
      </c>
      <c r="E6" s="111" t="s">
        <v>604</v>
      </c>
      <c r="F6" s="110">
        <v>12</v>
      </c>
      <c r="G6" s="225" t="s">
        <v>300</v>
      </c>
    </row>
    <row r="7" spans="1:7" ht="96" customHeight="1" x14ac:dyDescent="0.25">
      <c r="A7" s="110">
        <v>2</v>
      </c>
      <c r="B7" s="112" t="s">
        <v>296</v>
      </c>
      <c r="C7" s="112"/>
      <c r="D7" s="112" t="s">
        <v>39</v>
      </c>
      <c r="E7" s="111" t="s">
        <v>607</v>
      </c>
      <c r="F7" s="110">
        <v>18</v>
      </c>
      <c r="G7" s="226"/>
    </row>
    <row r="8" spans="1:7" ht="144" customHeight="1" x14ac:dyDescent="0.25">
      <c r="A8" s="110"/>
      <c r="B8" s="112" t="s">
        <v>296</v>
      </c>
      <c r="C8" s="112"/>
      <c r="D8" s="112" t="s">
        <v>42</v>
      </c>
      <c r="E8" s="111" t="s">
        <v>605</v>
      </c>
      <c r="F8" s="110">
        <v>23</v>
      </c>
      <c r="G8" s="225" t="s">
        <v>301</v>
      </c>
    </row>
    <row r="9" spans="1:7" ht="108.75" customHeight="1" x14ac:dyDescent="0.25">
      <c r="A9" s="110">
        <v>4</v>
      </c>
      <c r="B9" s="112" t="s">
        <v>296</v>
      </c>
      <c r="C9" s="112"/>
      <c r="D9" s="112" t="s">
        <v>39</v>
      </c>
      <c r="E9" s="111" t="s">
        <v>608</v>
      </c>
      <c r="F9" s="110">
        <v>6</v>
      </c>
      <c r="G9" s="226"/>
    </row>
    <row r="10" spans="1:7" ht="87.75" customHeight="1" x14ac:dyDescent="0.25">
      <c r="A10" s="110"/>
      <c r="B10" s="112" t="s">
        <v>296</v>
      </c>
      <c r="C10" s="112"/>
      <c r="D10" s="112" t="s">
        <v>39</v>
      </c>
      <c r="E10" s="111" t="s">
        <v>609</v>
      </c>
      <c r="F10" s="110">
        <v>11</v>
      </c>
      <c r="G10" s="225" t="s">
        <v>302</v>
      </c>
    </row>
    <row r="11" spans="1:7" ht="92.25" customHeight="1" x14ac:dyDescent="0.25">
      <c r="A11" s="110">
        <v>5</v>
      </c>
      <c r="B11" s="112" t="s">
        <v>296</v>
      </c>
      <c r="C11" s="112"/>
      <c r="D11" s="112" t="s">
        <v>43</v>
      </c>
      <c r="E11" s="111" t="s">
        <v>606</v>
      </c>
      <c r="F11" s="110">
        <v>19</v>
      </c>
      <c r="G11" s="226"/>
    </row>
    <row r="12" spans="1:7" ht="54.75" customHeight="1" x14ac:dyDescent="0.25">
      <c r="A12" s="110">
        <v>6</v>
      </c>
      <c r="B12" s="112" t="s">
        <v>296</v>
      </c>
      <c r="C12" s="112"/>
      <c r="D12" s="112" t="s">
        <v>44</v>
      </c>
      <c r="E12" s="111" t="s">
        <v>610</v>
      </c>
      <c r="F12" s="110">
        <v>23</v>
      </c>
      <c r="G12" s="110" t="s">
        <v>303</v>
      </c>
    </row>
    <row r="13" spans="1:7" ht="29.25" thickBot="1" x14ac:dyDescent="0.5">
      <c r="A13" s="113"/>
      <c r="B13" s="114"/>
      <c r="C13" s="114"/>
      <c r="D13" s="114"/>
      <c r="E13" s="115" t="s">
        <v>297</v>
      </c>
      <c r="F13" s="115">
        <v>112</v>
      </c>
      <c r="G13" s="116"/>
    </row>
  </sheetData>
  <mergeCells count="7">
    <mergeCell ref="G10:G11"/>
    <mergeCell ref="G8:G9"/>
    <mergeCell ref="G6:G7"/>
    <mergeCell ref="A1:G1"/>
    <mergeCell ref="A2:G2"/>
    <mergeCell ref="A3:G3"/>
    <mergeCell ref="A4:G4"/>
  </mergeCells>
  <phoneticPr fontId="32" type="noConversion"/>
  <pageMargins left="0.7" right="0.7" top="0.75" bottom="0.75" header="0.3" footer="0.3"/>
  <pageSetup paperSize="9" scale="49" orientation="portrait" r:id="rId1"/>
  <colBreaks count="1" manualBreakCount="1">
    <brk id="7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67DB9-1793-4A2C-BFF2-B367E3418802}">
  <sheetPr>
    <pageSetUpPr fitToPage="1"/>
  </sheetPr>
  <dimension ref="A1:G26"/>
  <sheetViews>
    <sheetView topLeftCell="A9" zoomScale="90" zoomScaleNormal="90" workbookViewId="0">
      <selection activeCell="A17" sqref="A17"/>
    </sheetView>
  </sheetViews>
  <sheetFormatPr defaultRowHeight="12.75" x14ac:dyDescent="0.2"/>
  <cols>
    <col min="1" max="1" width="18.85546875" style="78" customWidth="1"/>
    <col min="2" max="2" width="21.42578125" style="78" customWidth="1"/>
    <col min="3" max="7" width="18.85546875" style="78" customWidth="1"/>
    <col min="8" max="16384" width="9.140625" style="78"/>
  </cols>
  <sheetData>
    <row r="1" spans="1:7" ht="18.75" x14ac:dyDescent="0.3">
      <c r="A1" s="229" t="s">
        <v>0</v>
      </c>
      <c r="B1" s="229"/>
      <c r="C1" s="229"/>
      <c r="D1" s="229"/>
      <c r="E1" s="229"/>
      <c r="F1" s="229"/>
      <c r="G1" s="77"/>
    </row>
    <row r="2" spans="1:7" ht="18.75" x14ac:dyDescent="0.3">
      <c r="A2" s="229" t="s">
        <v>304</v>
      </c>
      <c r="B2" s="229"/>
      <c r="C2" s="229"/>
      <c r="D2" s="229"/>
      <c r="E2" s="229"/>
      <c r="F2" s="229"/>
      <c r="G2" s="76"/>
    </row>
    <row r="3" spans="1:7" ht="18.75" x14ac:dyDescent="0.3">
      <c r="A3" s="229" t="s">
        <v>305</v>
      </c>
      <c r="B3" s="229"/>
      <c r="C3" s="229"/>
      <c r="D3" s="229"/>
      <c r="E3" s="229"/>
      <c r="F3" s="229"/>
      <c r="G3" s="76"/>
    </row>
    <row r="4" spans="1:7" ht="18.75" x14ac:dyDescent="0.3">
      <c r="A4" s="229" t="s">
        <v>306</v>
      </c>
      <c r="B4" s="229"/>
      <c r="C4" s="229"/>
      <c r="D4" s="229"/>
      <c r="E4" s="229"/>
      <c r="F4" s="229"/>
      <c r="G4" s="76"/>
    </row>
    <row r="5" spans="1:7" ht="18.75" x14ac:dyDescent="0.3">
      <c r="A5" s="79"/>
      <c r="B5" s="76"/>
      <c r="C5" s="76"/>
      <c r="D5" s="76"/>
      <c r="E5" s="76"/>
      <c r="F5" s="77"/>
      <c r="G5" s="77"/>
    </row>
    <row r="6" spans="1:7" x14ac:dyDescent="0.2">
      <c r="A6" s="230" t="s">
        <v>307</v>
      </c>
      <c r="B6" s="232" t="s">
        <v>308</v>
      </c>
      <c r="C6" s="232" t="s">
        <v>324</v>
      </c>
      <c r="D6" s="232" t="s">
        <v>325</v>
      </c>
      <c r="E6" s="232" t="s">
        <v>326</v>
      </c>
      <c r="F6" s="235" t="s">
        <v>327</v>
      </c>
      <c r="G6" s="228"/>
    </row>
    <row r="7" spans="1:7" x14ac:dyDescent="0.2">
      <c r="A7" s="231"/>
      <c r="B7" s="233"/>
      <c r="C7" s="234"/>
      <c r="D7" s="234"/>
      <c r="E7" s="234"/>
      <c r="F7" s="236"/>
      <c r="G7" s="228"/>
    </row>
    <row r="8" spans="1:7" ht="34.5" customHeight="1" x14ac:dyDescent="0.2">
      <c r="A8" s="80">
        <v>46118</v>
      </c>
      <c r="B8" s="81" t="s">
        <v>323</v>
      </c>
      <c r="C8" s="82" t="s">
        <v>310</v>
      </c>
      <c r="D8" s="82" t="s">
        <v>313</v>
      </c>
      <c r="E8" s="82" t="s">
        <v>314</v>
      </c>
      <c r="F8" s="82" t="s">
        <v>328</v>
      </c>
      <c r="G8" s="83"/>
    </row>
    <row r="9" spans="1:7" ht="36.75" customHeight="1" x14ac:dyDescent="0.2">
      <c r="A9" s="80">
        <v>46118</v>
      </c>
      <c r="B9" s="81" t="s">
        <v>322</v>
      </c>
      <c r="C9" s="95" t="s">
        <v>315</v>
      </c>
      <c r="D9" s="95" t="s">
        <v>309</v>
      </c>
      <c r="E9" s="82" t="s">
        <v>49</v>
      </c>
      <c r="F9" s="82" t="s">
        <v>311</v>
      </c>
      <c r="G9" s="83"/>
    </row>
    <row r="10" spans="1:7" ht="36.75" customHeight="1" x14ac:dyDescent="0.2">
      <c r="A10" s="80">
        <v>46119</v>
      </c>
      <c r="B10" s="81" t="s">
        <v>323</v>
      </c>
      <c r="C10" s="82" t="s">
        <v>49</v>
      </c>
      <c r="D10" s="82" t="s">
        <v>311</v>
      </c>
      <c r="E10" s="82" t="s">
        <v>313</v>
      </c>
      <c r="F10" s="82" t="s">
        <v>328</v>
      </c>
      <c r="G10" s="83"/>
    </row>
    <row r="11" spans="1:7" ht="36.75" customHeight="1" x14ac:dyDescent="0.2">
      <c r="A11" s="80">
        <v>46119</v>
      </c>
      <c r="B11" s="81" t="s">
        <v>322</v>
      </c>
      <c r="C11" s="95" t="s">
        <v>309</v>
      </c>
      <c r="D11" s="82" t="s">
        <v>310</v>
      </c>
      <c r="E11" s="95" t="s">
        <v>315</v>
      </c>
      <c r="F11" s="82" t="s">
        <v>312</v>
      </c>
      <c r="G11" s="83"/>
    </row>
    <row r="12" spans="1:7" ht="36.75" customHeight="1" x14ac:dyDescent="0.2">
      <c r="A12" s="80">
        <v>46120</v>
      </c>
      <c r="B12" s="81" t="s">
        <v>323</v>
      </c>
      <c r="C12" s="82" t="s">
        <v>310</v>
      </c>
      <c r="D12" s="82" t="s">
        <v>313</v>
      </c>
      <c r="E12" s="95" t="s">
        <v>309</v>
      </c>
      <c r="F12" s="82" t="s">
        <v>49</v>
      </c>
      <c r="G12" s="83"/>
    </row>
    <row r="13" spans="1:7" ht="30" customHeight="1" x14ac:dyDescent="0.2">
      <c r="A13" s="80">
        <v>46120</v>
      </c>
      <c r="B13" s="81" t="s">
        <v>322</v>
      </c>
      <c r="C13" s="82"/>
      <c r="D13" s="82"/>
      <c r="E13" s="82"/>
      <c r="F13" s="82"/>
      <c r="G13" s="83"/>
    </row>
    <row r="14" spans="1:7" ht="15.75" x14ac:dyDescent="0.25">
      <c r="A14" s="86"/>
      <c r="B14" s="86"/>
      <c r="C14" s="86"/>
      <c r="D14" s="86"/>
      <c r="E14" s="86"/>
      <c r="F14" s="86"/>
      <c r="G14" s="86"/>
    </row>
    <row r="15" spans="1:7" ht="14.25" x14ac:dyDescent="0.2">
      <c r="A15" s="85" t="s">
        <v>316</v>
      </c>
      <c r="B15" s="85" t="s">
        <v>317</v>
      </c>
      <c r="C15" s="87"/>
      <c r="D15" s="85" t="s">
        <v>316</v>
      </c>
      <c r="E15" s="85" t="s">
        <v>317</v>
      </c>
      <c r="F15" s="87"/>
      <c r="G15" s="88"/>
    </row>
    <row r="16" spans="1:7" ht="29.25" customHeight="1" x14ac:dyDescent="0.2">
      <c r="A16" s="89" t="s">
        <v>310</v>
      </c>
      <c r="B16" s="90">
        <v>3</v>
      </c>
      <c r="C16" s="87"/>
      <c r="D16" s="89" t="s">
        <v>311</v>
      </c>
      <c r="E16" s="90">
        <v>2</v>
      </c>
      <c r="F16" s="87"/>
      <c r="G16" s="88"/>
    </row>
    <row r="17" spans="1:7" ht="29.25" customHeight="1" x14ac:dyDescent="0.2">
      <c r="A17" s="89" t="s">
        <v>49</v>
      </c>
      <c r="B17" s="90">
        <v>3</v>
      </c>
      <c r="C17" s="87"/>
      <c r="D17" s="85" t="s">
        <v>312</v>
      </c>
      <c r="E17" s="90">
        <v>1</v>
      </c>
      <c r="F17" s="87"/>
      <c r="G17" s="88"/>
    </row>
    <row r="18" spans="1:7" ht="29.25" customHeight="1" x14ac:dyDescent="0.2">
      <c r="A18" s="89" t="s">
        <v>313</v>
      </c>
      <c r="B18" s="90">
        <v>3</v>
      </c>
      <c r="C18" s="87"/>
      <c r="D18" s="84" t="s">
        <v>315</v>
      </c>
      <c r="E18" s="90">
        <v>2</v>
      </c>
      <c r="F18" s="87"/>
      <c r="G18" s="87"/>
    </row>
    <row r="19" spans="1:7" ht="29.25" customHeight="1" x14ac:dyDescent="0.2">
      <c r="A19" s="84" t="s">
        <v>309</v>
      </c>
      <c r="B19" s="91">
        <v>3</v>
      </c>
      <c r="C19" s="87"/>
      <c r="D19" s="84" t="s">
        <v>328</v>
      </c>
      <c r="E19" s="90">
        <v>2</v>
      </c>
      <c r="F19" s="87"/>
      <c r="G19" s="87"/>
    </row>
    <row r="20" spans="1:7" ht="29.25" customHeight="1" x14ac:dyDescent="0.2">
      <c r="A20" s="92"/>
      <c r="B20" s="93"/>
      <c r="C20" s="87"/>
      <c r="D20" s="84" t="s">
        <v>314</v>
      </c>
      <c r="E20" s="90">
        <v>1</v>
      </c>
      <c r="F20" s="87"/>
      <c r="G20" s="87"/>
    </row>
    <row r="21" spans="1:7" ht="15.75" x14ac:dyDescent="0.25">
      <c r="A21" s="86"/>
      <c r="B21" s="86"/>
      <c r="C21" s="87"/>
      <c r="D21" s="86"/>
      <c r="E21" s="86"/>
      <c r="F21" s="87"/>
      <c r="G21" s="86"/>
    </row>
    <row r="22" spans="1:7" ht="15.75" x14ac:dyDescent="0.25">
      <c r="A22" s="94" t="s">
        <v>318</v>
      </c>
      <c r="B22" s="86"/>
      <c r="C22" s="86"/>
      <c r="F22" s="86"/>
      <c r="G22" s="86"/>
    </row>
    <row r="23" spans="1:7" ht="15.75" x14ac:dyDescent="0.25">
      <c r="A23" s="94" t="s">
        <v>319</v>
      </c>
      <c r="B23" s="86"/>
      <c r="C23" s="86"/>
      <c r="F23" s="86"/>
      <c r="G23" s="86"/>
    </row>
    <row r="24" spans="1:7" ht="15.75" x14ac:dyDescent="0.25">
      <c r="A24" s="94" t="s">
        <v>320</v>
      </c>
      <c r="B24" s="86"/>
      <c r="C24" s="86"/>
      <c r="F24" s="86"/>
      <c r="G24" s="86"/>
    </row>
    <row r="25" spans="1:7" ht="15.75" x14ac:dyDescent="0.25">
      <c r="A25" s="94" t="s">
        <v>321</v>
      </c>
      <c r="B25" s="86"/>
      <c r="C25" s="86"/>
      <c r="F25" s="86"/>
      <c r="G25" s="86"/>
    </row>
    <row r="26" spans="1:7" ht="15.75" x14ac:dyDescent="0.25">
      <c r="C26" s="86"/>
      <c r="F26" s="86"/>
    </row>
  </sheetData>
  <mergeCells count="11">
    <mergeCell ref="G6:G7"/>
    <mergeCell ref="A1:F1"/>
    <mergeCell ref="A2:F2"/>
    <mergeCell ref="A3:F3"/>
    <mergeCell ref="A4:F4"/>
    <mergeCell ref="A6:A7"/>
    <mergeCell ref="B6:B7"/>
    <mergeCell ref="C6:C7"/>
    <mergeCell ref="D6:D7"/>
    <mergeCell ref="E6:E7"/>
    <mergeCell ref="F6:F7"/>
  </mergeCells>
  <phoneticPr fontId="3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Z991"/>
  <sheetViews>
    <sheetView view="pageBreakPreview" topLeftCell="A4" zoomScale="85" zoomScaleNormal="90" zoomScaleSheetLayoutView="85" workbookViewId="0">
      <selection activeCell="G12" sqref="G12:K13"/>
    </sheetView>
  </sheetViews>
  <sheetFormatPr defaultColWidth="12.5703125" defaultRowHeight="15" customHeight="1" x14ac:dyDescent="0.2"/>
  <cols>
    <col min="1" max="4" width="15.42578125" customWidth="1"/>
    <col min="5" max="5" width="30.42578125" customWidth="1"/>
    <col min="6" max="6" width="22" customWidth="1"/>
    <col min="7" max="10" width="15.42578125" customWidth="1"/>
    <col min="11" max="11" width="32.42578125" customWidth="1"/>
    <col min="12" max="12" width="15.42578125" customWidth="1"/>
  </cols>
  <sheetData>
    <row r="1" spans="1:26" ht="25.5" customHeight="1" x14ac:dyDescent="0.35">
      <c r="A1" s="239" t="s">
        <v>21</v>
      </c>
      <c r="B1" s="240"/>
      <c r="C1" s="240"/>
      <c r="D1" s="240"/>
      <c r="E1" s="240"/>
      <c r="F1" s="240"/>
      <c r="G1" s="240"/>
      <c r="H1" s="240"/>
      <c r="I1" s="240"/>
      <c r="J1" s="240"/>
      <c r="K1" s="241"/>
      <c r="L1" s="1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5">
      <c r="A2" s="242" t="s">
        <v>22</v>
      </c>
      <c r="B2" s="238"/>
      <c r="C2" s="238"/>
      <c r="D2" s="238"/>
      <c r="E2" s="238"/>
      <c r="F2" s="238"/>
      <c r="G2" s="238"/>
      <c r="H2" s="238"/>
      <c r="I2" s="238"/>
      <c r="J2" s="238"/>
      <c r="K2" s="243"/>
      <c r="L2" s="10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5">
      <c r="A3" s="242" t="s">
        <v>615</v>
      </c>
      <c r="B3" s="238"/>
      <c r="C3" s="238"/>
      <c r="D3" s="238"/>
      <c r="E3" s="238"/>
      <c r="F3" s="238"/>
      <c r="G3" s="238"/>
      <c r="H3" s="238"/>
      <c r="I3" s="238"/>
      <c r="J3" s="238"/>
      <c r="K3" s="243"/>
      <c r="L3" s="10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5">
      <c r="A4" s="152" t="s">
        <v>24</v>
      </c>
      <c r="B4" s="153"/>
      <c r="C4" s="153"/>
      <c r="D4" s="153"/>
      <c r="E4" s="153"/>
      <c r="F4" s="153"/>
      <c r="G4" s="244" t="s">
        <v>616</v>
      </c>
      <c r="H4" s="238"/>
      <c r="I4" s="238"/>
      <c r="J4" s="238"/>
      <c r="K4" s="243"/>
      <c r="L4" s="10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5">
      <c r="A5" s="154"/>
      <c r="B5" s="245" t="str">
        <f>"OVER ALL RESULT:- " &amp; TEXT(D9,"0.00%")</f>
        <v>OVER ALL RESULT:- 94.44%</v>
      </c>
      <c r="C5" s="238"/>
      <c r="D5" s="238"/>
      <c r="E5" s="238"/>
      <c r="F5" s="238"/>
      <c r="G5" s="238"/>
      <c r="H5" s="238"/>
      <c r="I5" s="238"/>
      <c r="J5" s="155"/>
      <c r="K5" s="156"/>
      <c r="L5" s="1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5">
      <c r="A6" s="132"/>
      <c r="B6" s="131"/>
      <c r="C6" s="131"/>
      <c r="D6" s="131"/>
      <c r="E6" s="131"/>
      <c r="F6" s="131"/>
      <c r="G6" s="131"/>
      <c r="H6" s="246"/>
      <c r="I6" s="247"/>
      <c r="J6" s="247"/>
      <c r="K6" s="248"/>
      <c r="L6" s="10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s="130" customFormat="1" ht="37.5" customHeight="1" x14ac:dyDescent="0.2">
      <c r="A7" s="151" t="s">
        <v>26</v>
      </c>
      <c r="B7" s="149" t="s">
        <v>27</v>
      </c>
      <c r="C7" s="149" t="s">
        <v>28</v>
      </c>
      <c r="D7" s="148" t="s">
        <v>29</v>
      </c>
      <c r="E7" s="135"/>
      <c r="F7" s="136"/>
      <c r="G7" s="148" t="s">
        <v>26</v>
      </c>
      <c r="H7" s="149" t="s">
        <v>27</v>
      </c>
      <c r="I7" s="149" t="s">
        <v>28</v>
      </c>
      <c r="J7" s="148" t="s">
        <v>29</v>
      </c>
      <c r="K7" s="137"/>
      <c r="L7" s="129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</row>
    <row r="8" spans="1:26" ht="25.5" customHeight="1" x14ac:dyDescent="0.3">
      <c r="A8" s="138" t="s">
        <v>30</v>
      </c>
      <c r="B8" s="139">
        <f>'6th A'!J23+'6th B'!J46+'6th C'!J34+'6th D'!J29+'6th E'!J34-H8</f>
        <v>108</v>
      </c>
      <c r="C8" s="139">
        <f>'6th A'!J24+'6th B'!J47+'6th C'!J35+'6th D'!J30+'6th E'!J35-I8</f>
        <v>102</v>
      </c>
      <c r="D8" s="140">
        <f t="shared" ref="D8:D9" si="0">C8/B8</f>
        <v>0.94444444444444442</v>
      </c>
      <c r="E8" s="141"/>
      <c r="F8" s="131"/>
      <c r="G8" s="139" t="s">
        <v>31</v>
      </c>
      <c r="H8" s="139">
        <v>3</v>
      </c>
      <c r="I8" s="139">
        <v>3</v>
      </c>
      <c r="J8" s="140">
        <f>I8/H8</f>
        <v>1</v>
      </c>
      <c r="K8" s="142"/>
      <c r="L8" s="3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38" t="s">
        <v>6</v>
      </c>
      <c r="B9" s="139">
        <f t="shared" ref="B9:C9" si="1">SUM(B8)</f>
        <v>108</v>
      </c>
      <c r="C9" s="139">
        <f t="shared" si="1"/>
        <v>102</v>
      </c>
      <c r="D9" s="140">
        <f t="shared" si="0"/>
        <v>0.94444444444444442</v>
      </c>
      <c r="E9" s="141"/>
      <c r="F9" s="131"/>
      <c r="G9" s="139" t="s">
        <v>6</v>
      </c>
      <c r="H9" s="139">
        <f t="shared" ref="H9" si="2">SUM(H8)</f>
        <v>3</v>
      </c>
      <c r="I9" s="139">
        <v>3</v>
      </c>
      <c r="J9" s="140">
        <f>I9/H9</f>
        <v>1</v>
      </c>
      <c r="K9" s="142"/>
      <c r="L9" s="3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25">
      <c r="A10" s="132"/>
      <c r="B10" s="131"/>
      <c r="C10" s="131"/>
      <c r="D10" s="131"/>
      <c r="E10" s="131"/>
      <c r="F10" s="131"/>
      <c r="G10" s="131"/>
      <c r="H10" s="131"/>
      <c r="I10" s="131"/>
      <c r="J10" s="131"/>
      <c r="K10" s="134"/>
      <c r="L10" s="1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4.25" customHeight="1" x14ac:dyDescent="0.2">
      <c r="A11" s="249" t="s">
        <v>32</v>
      </c>
      <c r="B11" s="238"/>
      <c r="C11" s="238"/>
      <c r="D11" s="238"/>
      <c r="E11" s="238"/>
      <c r="F11" s="238"/>
      <c r="G11" s="238"/>
      <c r="H11" s="238"/>
      <c r="I11" s="238"/>
      <c r="J11" s="238"/>
      <c r="K11" s="243"/>
      <c r="L11" s="1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250" t="s">
        <v>617</v>
      </c>
      <c r="B12" s="251"/>
      <c r="C12" s="251"/>
      <c r="D12" s="251"/>
      <c r="E12" s="252"/>
      <c r="F12" s="131"/>
      <c r="G12" s="250" t="s">
        <v>618</v>
      </c>
      <c r="H12" s="251"/>
      <c r="I12" s="251"/>
      <c r="J12" s="251"/>
      <c r="K12" s="253"/>
      <c r="L12" s="10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s="130" customFormat="1" ht="53.25" customHeight="1" x14ac:dyDescent="0.2">
      <c r="A13" s="148" t="s">
        <v>35</v>
      </c>
      <c r="B13" s="149" t="s">
        <v>27</v>
      </c>
      <c r="C13" s="149" t="s">
        <v>28</v>
      </c>
      <c r="D13" s="148" t="s">
        <v>29</v>
      </c>
      <c r="E13" s="148" t="s">
        <v>36</v>
      </c>
      <c r="F13" s="136"/>
      <c r="G13" s="148" t="s">
        <v>35</v>
      </c>
      <c r="H13" s="149" t="s">
        <v>27</v>
      </c>
      <c r="I13" s="149" t="s">
        <v>28</v>
      </c>
      <c r="J13" s="148" t="s">
        <v>29</v>
      </c>
      <c r="K13" s="150" t="s">
        <v>36</v>
      </c>
      <c r="L13" s="129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</row>
    <row r="14" spans="1:26" ht="25.5" customHeight="1" x14ac:dyDescent="0.3">
      <c r="A14" s="157" t="s">
        <v>58</v>
      </c>
      <c r="B14" s="143">
        <f>'6th A'!E23</f>
        <v>12</v>
      </c>
      <c r="C14" s="143">
        <f>'6th A'!E24</f>
        <v>12</v>
      </c>
      <c r="D14" s="140">
        <f t="shared" ref="D14:D20" si="3">C14/B14</f>
        <v>1</v>
      </c>
      <c r="E14" s="140" t="s">
        <v>55</v>
      </c>
      <c r="F14" s="131"/>
      <c r="G14" s="157" t="s">
        <v>58</v>
      </c>
      <c r="H14" s="143">
        <f>'6th A'!F23</f>
        <v>12</v>
      </c>
      <c r="I14" s="143">
        <f>'6th A'!F24</f>
        <v>12</v>
      </c>
      <c r="J14" s="140">
        <f t="shared" ref="J14:J20" si="4">I14/H14</f>
        <v>1</v>
      </c>
      <c r="K14" s="144" t="s">
        <v>47</v>
      </c>
      <c r="L14" s="3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57" t="s">
        <v>39</v>
      </c>
      <c r="B15" s="143">
        <f>'6th B'!E46</f>
        <v>35</v>
      </c>
      <c r="C15" s="143">
        <f>'6th B'!E47</f>
        <v>35</v>
      </c>
      <c r="D15" s="140">
        <f t="shared" si="3"/>
        <v>1</v>
      </c>
      <c r="E15" s="140" t="s">
        <v>310</v>
      </c>
      <c r="F15" s="131"/>
      <c r="G15" s="157" t="s">
        <v>39</v>
      </c>
      <c r="H15" s="143">
        <f>'6th B'!F46</f>
        <v>35</v>
      </c>
      <c r="I15" s="143">
        <f>'6th B'!F47</f>
        <v>35</v>
      </c>
      <c r="J15" s="140">
        <f t="shared" si="4"/>
        <v>1</v>
      </c>
      <c r="K15" s="144" t="s">
        <v>313</v>
      </c>
      <c r="L15" s="3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57" t="s">
        <v>42</v>
      </c>
      <c r="B16" s="143">
        <f>'6th C'!E$34</f>
        <v>23</v>
      </c>
      <c r="C16" s="143">
        <f>'6th C'!E$35</f>
        <v>23</v>
      </c>
      <c r="D16" s="140">
        <f>C16/B16</f>
        <v>1</v>
      </c>
      <c r="E16" s="140" t="s">
        <v>310</v>
      </c>
      <c r="F16" s="131"/>
      <c r="G16" s="157" t="s">
        <v>42</v>
      </c>
      <c r="H16" s="143">
        <f>'6th C'!$F$34</f>
        <v>23</v>
      </c>
      <c r="I16" s="143">
        <f>'6th C'!$F$35</f>
        <v>23</v>
      </c>
      <c r="J16" s="140">
        <f t="shared" si="4"/>
        <v>1</v>
      </c>
      <c r="K16" s="144" t="s">
        <v>313</v>
      </c>
      <c r="L16" s="3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57" t="s">
        <v>43</v>
      </c>
      <c r="B17" s="143">
        <f>'6th D'!E$29</f>
        <v>19</v>
      </c>
      <c r="C17" s="143">
        <f>'6th D'!E$30</f>
        <v>19</v>
      </c>
      <c r="D17" s="140">
        <f t="shared" si="3"/>
        <v>1</v>
      </c>
      <c r="E17" s="140" t="s">
        <v>315</v>
      </c>
      <c r="F17" s="131"/>
      <c r="G17" s="157" t="s">
        <v>43</v>
      </c>
      <c r="H17" s="143">
        <f>'6th D'!$F$29</f>
        <v>19</v>
      </c>
      <c r="I17" s="143">
        <f>'6th D'!$F$30</f>
        <v>16</v>
      </c>
      <c r="J17" s="140">
        <f t="shared" si="4"/>
        <v>0.84210526315789469</v>
      </c>
      <c r="K17" s="144" t="s">
        <v>309</v>
      </c>
      <c r="L17" s="3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57" t="s">
        <v>44</v>
      </c>
      <c r="B18" s="143">
        <f>'6th E'!E$34</f>
        <v>23</v>
      </c>
      <c r="C18" s="143">
        <f>'6th E'!E$35</f>
        <v>23</v>
      </c>
      <c r="D18" s="140">
        <f t="shared" si="3"/>
        <v>1</v>
      </c>
      <c r="E18" s="140" t="s">
        <v>55</v>
      </c>
      <c r="F18" s="131"/>
      <c r="G18" s="157" t="s">
        <v>44</v>
      </c>
      <c r="H18" s="143">
        <f>'6th E'!$F$34</f>
        <v>23</v>
      </c>
      <c r="I18" s="143">
        <f>'6th E'!$F$35</f>
        <v>23</v>
      </c>
      <c r="J18" s="140">
        <f t="shared" si="4"/>
        <v>1</v>
      </c>
      <c r="K18" s="144" t="s">
        <v>309</v>
      </c>
      <c r="L18" s="3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57" t="s">
        <v>30</v>
      </c>
      <c r="B19" s="139">
        <f>'6th A'!E23+'6th B'!E46+'6th C'!E34+'6th D'!E29+'6th E'!E34</f>
        <v>112</v>
      </c>
      <c r="C19" s="139">
        <f>'6th A'!E24+'6th B'!E47+'6th C'!E35+'6th D'!E30+'6th E'!E35</f>
        <v>112</v>
      </c>
      <c r="D19" s="140">
        <f t="shared" si="3"/>
        <v>1</v>
      </c>
      <c r="E19" s="140"/>
      <c r="F19" s="131"/>
      <c r="G19" s="157" t="s">
        <v>30</v>
      </c>
      <c r="H19" s="139">
        <f>'6th A'!F23+'6th B'!F46+'6th C'!F34+'6th D'!F29+'6th E'!F34</f>
        <v>112</v>
      </c>
      <c r="I19" s="139">
        <f>'6th A'!F24+'6th B'!F47+'6th C'!F35+'6th D'!F30+'6th E'!F35</f>
        <v>109</v>
      </c>
      <c r="J19" s="140">
        <f t="shared" si="4"/>
        <v>0.9732142857142857</v>
      </c>
      <c r="K19" s="144"/>
      <c r="L19" s="3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57" t="s">
        <v>6</v>
      </c>
      <c r="B20" s="139">
        <f t="shared" ref="B20:C20" si="5">B19</f>
        <v>112</v>
      </c>
      <c r="C20" s="139">
        <f t="shared" si="5"/>
        <v>112</v>
      </c>
      <c r="D20" s="140">
        <f t="shared" si="3"/>
        <v>1</v>
      </c>
      <c r="E20" s="140"/>
      <c r="F20" s="131"/>
      <c r="G20" s="157" t="s">
        <v>6</v>
      </c>
      <c r="H20" s="139">
        <f t="shared" ref="H20:I20" si="6">H19</f>
        <v>112</v>
      </c>
      <c r="I20" s="139">
        <f t="shared" si="6"/>
        <v>109</v>
      </c>
      <c r="J20" s="140">
        <f t="shared" si="4"/>
        <v>0.9732142857142857</v>
      </c>
      <c r="K20" s="144"/>
      <c r="L20" s="34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25">
      <c r="A21" s="132"/>
      <c r="B21" s="131"/>
      <c r="C21" s="131"/>
      <c r="D21" s="131"/>
      <c r="E21" s="131"/>
      <c r="F21" s="131"/>
      <c r="G21" s="131"/>
      <c r="H21" s="131"/>
      <c r="I21" s="131"/>
      <c r="J21" s="131"/>
      <c r="K21" s="134"/>
      <c r="L21" s="17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250" t="s">
        <v>619</v>
      </c>
      <c r="B22" s="251"/>
      <c r="C22" s="251"/>
      <c r="D22" s="251"/>
      <c r="E22" s="252"/>
      <c r="F22" s="131"/>
      <c r="G22" s="250" t="s">
        <v>620</v>
      </c>
      <c r="H22" s="251"/>
      <c r="I22" s="251"/>
      <c r="J22" s="251"/>
      <c r="K22" s="253"/>
      <c r="L22" s="10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s="130" customFormat="1" ht="48.75" customHeight="1" x14ac:dyDescent="0.2">
      <c r="A23" s="148" t="s">
        <v>35</v>
      </c>
      <c r="B23" s="149" t="s">
        <v>27</v>
      </c>
      <c r="C23" s="149" t="s">
        <v>28</v>
      </c>
      <c r="D23" s="148" t="s">
        <v>29</v>
      </c>
      <c r="E23" s="148" t="s">
        <v>36</v>
      </c>
      <c r="F23" s="136"/>
      <c r="G23" s="148" t="s">
        <v>35</v>
      </c>
      <c r="H23" s="149" t="s">
        <v>27</v>
      </c>
      <c r="I23" s="149" t="s">
        <v>28</v>
      </c>
      <c r="J23" s="148" t="s">
        <v>29</v>
      </c>
      <c r="K23" s="150" t="s">
        <v>36</v>
      </c>
      <c r="L23" s="129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</row>
    <row r="24" spans="1:26" ht="25.5" customHeight="1" x14ac:dyDescent="0.3">
      <c r="A24" s="157" t="s">
        <v>58</v>
      </c>
      <c r="B24" s="143">
        <f>'6th A'!G23</f>
        <v>12</v>
      </c>
      <c r="C24" s="143">
        <f>'6th A'!G24</f>
        <v>12</v>
      </c>
      <c r="D24" s="140">
        <f t="shared" ref="D24:D30" si="7">C24/B24</f>
        <v>1</v>
      </c>
      <c r="E24" s="140" t="s">
        <v>315</v>
      </c>
      <c r="F24" s="131"/>
      <c r="G24" s="157" t="s">
        <v>58</v>
      </c>
      <c r="H24" s="143">
        <f>'6th A'!H23</f>
        <v>12</v>
      </c>
      <c r="I24" s="143">
        <f>'6th A'!H24</f>
        <v>12</v>
      </c>
      <c r="J24" s="140">
        <f t="shared" ref="J24:J30" si="8">I24/H24</f>
        <v>1</v>
      </c>
      <c r="K24" s="140" t="s">
        <v>311</v>
      </c>
      <c r="L24" s="3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57" t="s">
        <v>39</v>
      </c>
      <c r="B25" s="143">
        <f>'6th B'!G46</f>
        <v>34</v>
      </c>
      <c r="C25" s="143">
        <f>'6th B'!G47</f>
        <v>32</v>
      </c>
      <c r="D25" s="140">
        <f t="shared" si="7"/>
        <v>0.94117647058823528</v>
      </c>
      <c r="E25" s="140" t="s">
        <v>621</v>
      </c>
      <c r="F25" s="131"/>
      <c r="G25" s="157" t="s">
        <v>39</v>
      </c>
      <c r="H25" s="143">
        <f>'6th B'!H46</f>
        <v>34</v>
      </c>
      <c r="I25" s="143">
        <f>'6th B'!H47</f>
        <v>34</v>
      </c>
      <c r="J25" s="140">
        <f t="shared" si="8"/>
        <v>1</v>
      </c>
      <c r="K25" s="140" t="s">
        <v>49</v>
      </c>
      <c r="L25" s="3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57" t="s">
        <v>42</v>
      </c>
      <c r="B26" s="143">
        <f>'6th C'!$G$34</f>
        <v>23</v>
      </c>
      <c r="C26" s="143">
        <f>'6th C'!$G$35</f>
        <v>23</v>
      </c>
      <c r="D26" s="140">
        <f t="shared" si="7"/>
        <v>1</v>
      </c>
      <c r="E26" s="140" t="s">
        <v>315</v>
      </c>
      <c r="F26" s="131"/>
      <c r="G26" s="157" t="s">
        <v>42</v>
      </c>
      <c r="H26" s="143">
        <f>'6th C'!$H$34</f>
        <v>23</v>
      </c>
      <c r="I26" s="143">
        <f>'6th C'!$H$35</f>
        <v>23</v>
      </c>
      <c r="J26" s="140">
        <f t="shared" si="8"/>
        <v>1</v>
      </c>
      <c r="K26" s="140" t="s">
        <v>49</v>
      </c>
      <c r="L26" s="3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57" t="s">
        <v>43</v>
      </c>
      <c r="B27" s="143">
        <f>'6th D'!$G$29</f>
        <v>19</v>
      </c>
      <c r="C27" s="143">
        <f>'6th D'!$G$30</f>
        <v>17</v>
      </c>
      <c r="D27" s="140">
        <f t="shared" si="7"/>
        <v>0.89473684210526316</v>
      </c>
      <c r="E27" s="140" t="s">
        <v>621</v>
      </c>
      <c r="F27" s="131"/>
      <c r="G27" s="157" t="s">
        <v>43</v>
      </c>
      <c r="H27" s="143">
        <f>'6th D'!$H$29</f>
        <v>18</v>
      </c>
      <c r="I27" s="143">
        <f>'6th D'!$H$30</f>
        <v>15</v>
      </c>
      <c r="J27" s="140">
        <f t="shared" si="8"/>
        <v>0.83333333333333337</v>
      </c>
      <c r="K27" s="140" t="s">
        <v>49</v>
      </c>
      <c r="L27" s="34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57" t="s">
        <v>44</v>
      </c>
      <c r="B28" s="143">
        <f>'6th E'!$G$34</f>
        <v>23</v>
      </c>
      <c r="C28" s="143">
        <f>'6th E'!$G$35</f>
        <v>23</v>
      </c>
      <c r="D28" s="140">
        <f t="shared" si="7"/>
        <v>1</v>
      </c>
      <c r="E28" s="140" t="s">
        <v>310</v>
      </c>
      <c r="F28" s="131"/>
      <c r="G28" s="157" t="s">
        <v>44</v>
      </c>
      <c r="H28" s="143">
        <f>'6th E'!$H$34</f>
        <v>14</v>
      </c>
      <c r="I28" s="143">
        <f>'6th E'!$H$35</f>
        <v>23</v>
      </c>
      <c r="J28" s="140">
        <f t="shared" si="8"/>
        <v>1.6428571428571428</v>
      </c>
      <c r="K28" s="140" t="s">
        <v>311</v>
      </c>
      <c r="L28" s="3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57" t="s">
        <v>30</v>
      </c>
      <c r="B29" s="139">
        <f>'6th A'!G23+'6th B'!G46+'6th C'!G34+'6th D'!G29+'6th E'!G34</f>
        <v>111</v>
      </c>
      <c r="C29" s="139">
        <f>'6th A'!G24+'6th B'!G47+'6th C'!G35+'6th D'!G30+'6th E'!G35</f>
        <v>107</v>
      </c>
      <c r="D29" s="140">
        <f t="shared" si="7"/>
        <v>0.963963963963964</v>
      </c>
      <c r="E29" s="140"/>
      <c r="F29" s="131"/>
      <c r="G29" s="157" t="s">
        <v>30</v>
      </c>
      <c r="H29" s="139">
        <f>'6th A'!H23+'6th B'!H46+'6th C'!H34+'6th D'!H29+'6th E'!H34</f>
        <v>101</v>
      </c>
      <c r="I29" s="139">
        <f>'6th A'!H24+'6th B'!H47+'6th C'!H35+'6th D'!H30+'6th E'!H35</f>
        <v>107</v>
      </c>
      <c r="J29" s="140">
        <f t="shared" si="8"/>
        <v>1.0594059405940595</v>
      </c>
      <c r="K29" s="140"/>
      <c r="L29" s="34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57" t="s">
        <v>6</v>
      </c>
      <c r="B30" s="139">
        <f t="shared" ref="B30:C30" si="9">B29</f>
        <v>111</v>
      </c>
      <c r="C30" s="139">
        <f t="shared" si="9"/>
        <v>107</v>
      </c>
      <c r="D30" s="140">
        <f t="shared" si="7"/>
        <v>0.963963963963964</v>
      </c>
      <c r="E30" s="140"/>
      <c r="F30" s="131"/>
      <c r="G30" s="157" t="s">
        <v>6</v>
      </c>
      <c r="H30" s="139">
        <f t="shared" ref="H30:I30" si="10">H29</f>
        <v>101</v>
      </c>
      <c r="I30" s="139">
        <f t="shared" si="10"/>
        <v>107</v>
      </c>
      <c r="J30" s="140">
        <f t="shared" si="8"/>
        <v>1.0594059405940595</v>
      </c>
      <c r="K30" s="140"/>
      <c r="L30" s="34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2" customHeight="1" x14ac:dyDescent="0.25">
      <c r="A31" s="132"/>
      <c r="B31" s="131"/>
      <c r="C31" s="131"/>
      <c r="D31" s="131"/>
      <c r="E31" s="131"/>
      <c r="F31" s="131"/>
      <c r="G31" s="131"/>
      <c r="H31" s="131"/>
      <c r="I31" s="131"/>
      <c r="J31" s="131"/>
      <c r="K31" s="134"/>
      <c r="L31" s="17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25">
      <c r="A32" s="132"/>
      <c r="B32" s="131"/>
      <c r="C32" s="131"/>
      <c r="D32" s="131"/>
      <c r="E32" s="131"/>
      <c r="F32" s="131"/>
      <c r="G32" s="131"/>
      <c r="H32" s="237" t="s">
        <v>59</v>
      </c>
      <c r="I32" s="238"/>
      <c r="J32" s="133"/>
      <c r="K32" s="134"/>
      <c r="L32" s="17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25">
      <c r="A33" s="145"/>
      <c r="B33" s="146"/>
      <c r="C33" s="146"/>
      <c r="D33" s="146"/>
      <c r="E33" s="146"/>
      <c r="F33" s="146"/>
      <c r="G33" s="146"/>
      <c r="H33" s="146"/>
      <c r="I33" s="146"/>
      <c r="J33" s="146"/>
      <c r="K33" s="147"/>
      <c r="L33" s="17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</sheetData>
  <mergeCells count="12">
    <mergeCell ref="H32:I32"/>
    <mergeCell ref="A1:K1"/>
    <mergeCell ref="A2:K2"/>
    <mergeCell ref="A3:K3"/>
    <mergeCell ref="G4:K4"/>
    <mergeCell ref="B5:I5"/>
    <mergeCell ref="H6:K6"/>
    <mergeCell ref="A11:K11"/>
    <mergeCell ref="A12:E12"/>
    <mergeCell ref="G12:K12"/>
    <mergeCell ref="A22:E22"/>
    <mergeCell ref="G22:K22"/>
  </mergeCells>
  <printOptions horizontalCentered="1"/>
  <pageMargins left="0.23622047244094491" right="0.23622047244094491" top="0.55118110236220474" bottom="0" header="0" footer="0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7</vt:i4>
      </vt:variant>
    </vt:vector>
  </HeadingPairs>
  <TitlesOfParts>
    <vt:vector size="21" baseType="lpstr">
      <vt:lpstr>3RD Debarred E</vt:lpstr>
      <vt:lpstr>3RD Debarred D</vt:lpstr>
      <vt:lpstr>3RD Debarred C</vt:lpstr>
      <vt:lpstr>3RD Debarred B</vt:lpstr>
      <vt:lpstr>3RD Debarred A</vt:lpstr>
      <vt:lpstr>6th A</vt:lpstr>
      <vt:lpstr>6th B</vt:lpstr>
      <vt:lpstr>6th C</vt:lpstr>
      <vt:lpstr>6th D</vt:lpstr>
      <vt:lpstr>6th E</vt:lpstr>
      <vt:lpstr>Sheet1</vt:lpstr>
      <vt:lpstr>Main Seating</vt:lpstr>
      <vt:lpstr>exam duty chart</vt:lpstr>
      <vt:lpstr>OVER ALL RESULT</vt:lpstr>
      <vt:lpstr>'Main Seating'!Print_Area</vt:lpstr>
      <vt:lpstr>'3RD Debarred A'!Print_Titles</vt:lpstr>
      <vt:lpstr>'3RD Debarred B'!Print_Titles</vt:lpstr>
      <vt:lpstr>'3RD Debarred C'!Print_Titles</vt:lpstr>
      <vt:lpstr>'3RD Debarred D'!Print_Titles</vt:lpstr>
      <vt:lpstr>'3RD Debarred E'!Print_Titles</vt:lpstr>
      <vt:lpstr>'6th B'!Print_Titles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SIRT</dc:creator>
  <cp:lastModifiedBy>SIRT</cp:lastModifiedBy>
  <cp:lastPrinted>2026-04-18T03:24:46Z</cp:lastPrinted>
  <dcterms:created xsi:type="dcterms:W3CDTF">2026-01-02T03:51:52Z</dcterms:created>
  <dcterms:modified xsi:type="dcterms:W3CDTF">2026-04-20T08:20:02Z</dcterms:modified>
</cp:coreProperties>
</file>